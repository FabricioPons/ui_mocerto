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castellanos\Downloads\"/>
    </mc:Choice>
  </mc:AlternateContent>
  <xr:revisionPtr revIDLastSave="0" documentId="8_{31EE3804-08D9-4AB6-821C-180BA6DF6AB7}" xr6:coauthVersionLast="47" xr6:coauthVersionMax="47" xr10:uidLastSave="{00000000-0000-0000-0000-000000000000}"/>
  <bookViews>
    <workbookView xWindow="-28920" yWindow="750" windowWidth="29040" windowHeight="15720" activeTab="1" xr2:uid="{00000000-000D-0000-FFFF-FFFF00000000}"/>
  </bookViews>
  <sheets>
    <sheet name="1" sheetId="2" r:id="rId1"/>
    <sheet name="2" sheetId="1" r:id="rId2"/>
    <sheet name="ALEACIONES" sheetId="8" r:id="rId3"/>
  </sheets>
  <externalReferences>
    <externalReference r:id="rId4"/>
  </externalReferences>
  <definedNames>
    <definedName name="_xlnm._FilterDatabase" localSheetId="1" hidden="1">'2'!$A$2:$AB$18</definedName>
    <definedName name="_xlnm._FilterDatabase" localSheetId="2" hidden="1">ALEACIONES!$A$2:$X$2</definedName>
    <definedName name="ACERO_RAPIDO">AND(SUM([1]Aleaciones!$C$14,[1]Aleaciones!$C$19:$C$20)&gt;=7%,[1]Aleaciones!$C$3&gt;=0.6%,AND([1]Aleaciones!$C$9&gt;=3%,[1]Aleaciones!$C$9&lt;=6%))</definedName>
    <definedName name="AL_CARBON">AND([1]Aleaciones!$C$3&lt;=2%,[1]Aleaciones!$C$7&lt;0.3%,[1]Aleaciones!$C$8&lt;0.0008%,[1]Aleaciones!$C$9&lt;0.3%,[1]Aleaciones!$C$10&lt;0.3%,[1]Aleaciones!$C$11&lt;0.4%,[1]Aleaciones!$C$12&lt;0.4%,[1]Aleaciones!$C$13&lt;1.65%,[1]Aleaciones!$C$14&lt;0.08%,[1]Aleaciones!$C$15&lt;0.3%,[1]Aleaciones!$C$16&lt;0.06%,[1]Aleaciones!$C$17&lt;0.6%,[1]Aleaciones!$C$18&lt;0.05%,[1]Aleaciones!$C$19&lt;0.3%,[1]Aleaciones!$C$20&lt;0.1%,[1]Aleaciones!$C$21&lt;0.05%,[1]Aleaciones!$C$22&lt;=0.1%)</definedName>
    <definedName name="AL_SILICIO">AND([1]Aleaciones!$C$7&lt;1%,[1]Aleaciones!$C$8&lt;0.0008%,[1]Aleaciones!$C$9&lt;0.3%,[1]Aleaciones!$C$10&lt;0.3%,[1]Aleaciones!$C$11&lt;0.4%,[1]Aleaciones!$C$12&lt;0.4%,[1]Aleaciones!$C$13&lt;1.65%,[1]Aleaciones!$C$14&lt;0.08%,[1]Aleaciones!$C$15&lt;0.3%,[1]Aleaciones!$C$16&lt;0.06%,AND(AND([1]Aleaciones!$C$17&gt;=0.6%,[1]Aleaciones!$C$17&lt;=6%),[1]Aleaciones!$C$3&lt;=0.08%),[1]Aleaciones!$C$18&lt;0.05%,[1]Aleaciones!$C$19&lt;0.3%,[1]Aleaciones!$C$20&lt;0.1%,[1]Aleaciones!$C$21&lt;0.05%,[1]Aleaciones!$C$22&lt;0.1%)</definedName>
    <definedName name="ALEADO">OR([1]Aleaciones!$C$7&gt;=0.3%,[1]Aleaciones!$C$8&gt;=0.0008%,[1]Aleaciones!$C$9&gt;=0.3%,[1]Aleaciones!$C$10&gt;=0.3%,[1]Aleaciones!$C$11&gt;=0.4%,[1]Aleaciones!$C$12&gt;=1.65%,[1]Aleaciones!$C$13&gt;=1.65%,[1]Aleaciones!$C$14&gt;=0.08%,[1]Aleaciones!$C$15&gt;=0.3%,[1]Aleaciones!$C$16&gt;=0.06%,[1]Aleaciones!$C$17&gt;=0.6%,[1]Aleaciones!$C$18&gt;=0.05%,[1]Aleaciones!$C$19&gt;=0.3%,[1]Aleaciones!$C$20&gt;=0.1%,[1]Aleaciones!$C$21&gt;=0.05%,[1]Aleaciones!$C$22&gt;=0.1%)</definedName>
    <definedName name="_xlnm.Print_Area" localSheetId="0">'1'!$B$2:$H$38</definedName>
    <definedName name="_xlnm.Print_Area" localSheetId="1">'2'!$A$1:$AC$18</definedName>
    <definedName name="GRADO_HERRAMIENTA">OR(AND([1]Aleaciones!$C$3&gt;1.2%,[1]Aleaciones!$C$9&gt;=10.5%),AND([1]Aleaciones!$C$3&gt;=0.3%,[1]Aleaciones!$C$9&gt;=10.5%),AND([1]Aleaciones!$C$3&gt;=0.85%,AND([1]Aleaciones!$C$13&gt;=1%,[1]Aleaciones!$C$13&lt;=1.8%)),AND(AND([1]Aleaciones!$C$9&gt;=0.9%,[1]Aleaciones!$C$9&lt;=1.2%),AND([1]Aleaciones!$C$14&gt;=0.9%,[1]Aleaciones!$C$14&lt;=1.4%)),AND([1]Aleaciones!$C$3&gt;=0.5%,[1]Aleaciones!$C$14&gt;=3.5%),AND([1]Aleaciones!$C$3&gt;=0.5%,[1]Aleaciones!$C$19&gt;=5.5%))</definedName>
    <definedName name="INOXIDABLE">AND(ALEADO=TRUE,[1]Aleaciones!$C$3&lt;=1.2%,[1]Aleaciones!$C$9&gt;=10.5%)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Figueroa</author>
  </authors>
  <commentList>
    <comment ref="B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Llenar con la información correspondiente los campos que se encuentran en fondo amarillo.
Fill the cells marked with yellow background, with the information required.</t>
        </r>
      </text>
    </comment>
    <comment ref="B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Indicar el nombre del cliente.
Indicar el número del cliente
(unicamente para personal interno de BMASC)</t>
        </r>
      </text>
    </comment>
    <comment ref="B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Indicar el nombre del proveedor.
Indicar el número de proveedor
(unicamente para personal interno de BMASC)</t>
        </r>
      </text>
    </comment>
    <comment ref="B1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Indicar la referencia de BMASC sobre la cual se asentarán las clasificaciones arancelarias o de la consulta formulada.</t>
        </r>
      </text>
    </comment>
    <comment ref="B1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Indicar la fecha correspondiente al arribo/cruce/llegada al pais de las mercancías para conocer el tiempo que cuenta el departamento de clasificacion disponible para poder formular consultas externas.</t>
        </r>
      </text>
    </comment>
    <comment ref="B1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Indicar si es definitivo (importación o exportación), temporal, retorno, activo fijo,  transferencia virtual de mercancías, etc.</t>
        </r>
      </text>
    </comment>
    <comment ref="B1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Indicar los documentos que acompañarán al presente archivo para su clasificación arancelaria.</t>
        </r>
      </text>
    </comment>
    <comment ref="B24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Pedimentos despachados anteriormente que correspondan a las mismas mercancías a clasificar (marca, modelo, numero de parte, etc).</t>
        </r>
      </text>
    </comment>
    <comment ref="B25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Dictamen ya sea de muestro o consulta arancelaria de la mercancía que corresponda a las mercancías a clasificar.</t>
        </r>
      </text>
    </comment>
    <comment ref="B26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Pagina web del producto donde se pueda obtener información técnica de la mercancía a clasificar.</t>
        </r>
      </text>
    </comment>
    <comment ref="B27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Indicar algun otro documento no listado que sea tecnicamente relevante para la consulta de clasificación.</t>
        </r>
      </text>
    </comment>
    <comment ref="B30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Indicar o señalar las aduanas por las que se pretende despachar (importar o exportar) las mercancías.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Figueroa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Número consecutivo de la factura comercial u orden asignado.
Commercial invoice consecutive order.</t>
        </r>
      </text>
    </comment>
    <comment ref="C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Indicar el nombre del proveedor de la factura comercial.
Indicate the invoice supplier name.</t>
        </r>
      </text>
    </comment>
    <comment ref="D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Indicate the invoice number to match the items to classify.</t>
        </r>
      </text>
    </comment>
    <comment ref="E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Indicar el numero de parte que tiene referencia o relevancia a la mercancía.
Indicate the part number to get reference to the merchandise.</t>
        </r>
      </text>
    </comment>
    <comment ref="F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Indicar la descripción asignada por el proveedor para la mercancía.
Indicate the description assigned by the supplier for the merchandise.</t>
        </r>
      </text>
    </comment>
    <comment ref="G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REDONDA, CUADRADA, HEXAGONAL, RECTANGULAR, ETC.</t>
        </r>
      </text>
    </comment>
    <comment ref="H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 xml:space="preserve">Proporcionar información relevante a esta pregunta, dentro de cada celda cuando se encuentre en fondo amarillo.
Provide information relevant to this question, inside each cell when it is on a yellow background. </t>
        </r>
      </text>
    </comment>
    <comment ref="M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Indicar la marca de la mercancía.
Indicate the "mark" of the merchandise.</t>
        </r>
      </text>
    </comment>
    <comment ref="N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Indicar el modelo de la mercancía.
Indicate the model of the merchandise.</t>
        </r>
      </text>
    </comment>
    <comment ref="P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¿en caliente o frio?</t>
        </r>
      </text>
    </comment>
    <comment ref="S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Galvanizado
cincado
Estañado
aluminizado
etc</t>
        </r>
      </text>
    </comment>
    <comment ref="X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 xml:space="preserve">Proporcionar el codigo arancelario que indiquen los documentos de acuerdo a cada item, o que el cliente tenga sugerido.
Provide the hs code indicated in the documents according to each item, or that the client has suggested. </t>
        </r>
      </text>
    </comment>
    <comment ref="Y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 xml:space="preserve">Aquí se indicará el codigo arancelario y descripcion que asignó BMASC de acuerdo a la información técnica proporcionada.
Here the hs code and description assigned by BMASC according to the technical information provided. </t>
        </r>
      </text>
    </comment>
    <comment ref="AB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Este campo es solo para BMASC, para dar indicaciones particulares a cada item.
This field is only for BMASC, to give particular indications to each item.</t>
        </r>
      </text>
    </comment>
    <comment ref="T2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Galvanizado, cincado en caliente, cincado enlectrolitico, Estañado, aluminizado, etc</t>
        </r>
      </text>
    </comment>
  </commentList>
</comments>
</file>

<file path=xl/sharedStrings.xml><?xml version="1.0" encoding="utf-8"?>
<sst xmlns="http://schemas.openxmlformats.org/spreadsheetml/2006/main" count="324" uniqueCount="131">
  <si>
    <t>DESCRIPCION</t>
  </si>
  <si>
    <t>FRACCION</t>
  </si>
  <si>
    <t>ITEM</t>
  </si>
  <si>
    <t>PREGUNTAS
Questions</t>
  </si>
  <si>
    <t>RESPUESTAS
Answers</t>
  </si>
  <si>
    <t>RRNAS
(Regulaciones y Restricciones No Arancelarias)</t>
  </si>
  <si>
    <t>SOLICITUD DE CLASIFICACION ARANCELARIA</t>
  </si>
  <si>
    <t>OTROS:</t>
  </si>
  <si>
    <t>PIEDRAS NEGRAS:</t>
  </si>
  <si>
    <t>AICM:</t>
  </si>
  <si>
    <t>NUEVO LAREDO:</t>
  </si>
  <si>
    <t>MANZANILLO:</t>
  </si>
  <si>
    <t>MATAMOROS:</t>
  </si>
  <si>
    <t>GUADALAJARA:</t>
  </si>
  <si>
    <t>ALTAMIRA:</t>
  </si>
  <si>
    <t>VERACRUZ:</t>
  </si>
  <si>
    <r>
      <rPr>
        <b/>
        <sz val="11"/>
        <color rgb="FF002060"/>
        <rFont val="Arial Narrow"/>
        <family val="2"/>
      </rPr>
      <t>FRACCION ARANCELARIA SUGERIDA
DE ORIGEN / CLIENTE</t>
    </r>
    <r>
      <rPr>
        <sz val="11"/>
        <color rgb="FF002060"/>
        <rFont val="Arial Narrow"/>
        <family val="2"/>
      </rPr>
      <t xml:space="preserve">
Hs code suggested</t>
    </r>
  </si>
  <si>
    <t>FRACCION ARANCELARIA BMASC
Hs Code BMASC</t>
  </si>
  <si>
    <t>NOTAS
Notes</t>
  </si>
  <si>
    <t>PROVEEDOR
Invoice supplier</t>
  </si>
  <si>
    <t>NUMERO DE FACTURA
Invoice Number</t>
  </si>
  <si>
    <t>NUMERO DE IDENTIFICACION
Número de Parte
Part Number</t>
  </si>
  <si>
    <t>DESCRIPCION
Description</t>
  </si>
  <si>
    <t>Procedimiento Interno BMA (P-BMA-CT-08) 
Procedimiento Cliente (P-BMA-CT-09).</t>
  </si>
  <si>
    <t>QUERETARO:</t>
  </si>
  <si>
    <r>
      <t xml:space="preserve">REFERENCIA BMASC
</t>
    </r>
    <r>
      <rPr>
        <b/>
        <sz val="9"/>
        <color rgb="FFFF0000"/>
        <rFont val="Arial"/>
        <family val="2"/>
      </rPr>
      <t>(En caso de contar)</t>
    </r>
  </si>
  <si>
    <t>Fecha estimada de
Arribo/Cruce/Llegada al país:</t>
  </si>
  <si>
    <t xml:space="preserve"> FECHA DE SOLICITUD:</t>
  </si>
  <si>
    <t>↓↓↓  Indique aquí con una "x"  ↓↓↓</t>
  </si>
  <si>
    <t>MSDS.</t>
  </si>
  <si>
    <t>FOTOS CLARAS Y/O VIDEO POR PRODUCTO O ITEM.</t>
  </si>
  <si>
    <t>Régimen de las mercancías:</t>
  </si>
  <si>
    <t xml:space="preserve">SELECCIONAR LA(S) ADUANA(S) PARA EL DESPACHO DE LA(S) MERCANCIA(S) A CLASIFICAR: </t>
  </si>
  <si>
    <t>¿QUE DOCUMENTOS SE ANEXAN A LA SOLICITUD DE CLASIFICACION ?</t>
  </si>
  <si>
    <t>LINK DE INTERNET / BASE DE CONSULTA .</t>
  </si>
  <si>
    <t>PEDIMENTO(S) DESPACHADO(S) ANTERIORMENTE DONDE VENGA LA MISMA MERCANCÍA A CLASIFICAR.</t>
  </si>
  <si>
    <t>CERTIFICADO(S) DE ANALISIS .</t>
  </si>
  <si>
    <t>FACTURA(S) COMERCIAL(ES).</t>
  </si>
  <si>
    <t>FICHA(S) TECNICA(S) DE LA(S) MERCANCÍA(S).</t>
  </si>
  <si>
    <t>DICTAMEN(ES) DE LA AUTORIDAD (MUESTREO O CONSULTA ARANCELARIA).</t>
  </si>
  <si>
    <r>
      <t xml:space="preserve">
NOMBRE DEL CLIENTE:
</t>
    </r>
    <r>
      <rPr>
        <b/>
        <sz val="7"/>
        <color rgb="FFFF0000"/>
        <rFont val="Arial"/>
        <family val="2"/>
      </rPr>
      <t xml:space="preserve">Esta informacion es  utilizada para  el registro  en catalogo de partes  en  el sistema opertivo SLAM
</t>
    </r>
    <r>
      <rPr>
        <b/>
        <sz val="9"/>
        <color theme="3" tint="-0.499984740745262"/>
        <rFont val="Arial"/>
        <family val="2"/>
      </rPr>
      <t>NUMERO DE CLIENTE:</t>
    </r>
  </si>
  <si>
    <r>
      <t xml:space="preserve">
NOMBRE DE PROVEEDOR:
</t>
    </r>
    <r>
      <rPr>
        <b/>
        <sz val="7"/>
        <color rgb="FFFF0000"/>
        <rFont val="Arial"/>
        <family val="2"/>
      </rPr>
      <t xml:space="preserve">Esta informacion es  utilizada para  el registro  en catalogo de partes  en  el sistema opertivo SLAM
</t>
    </r>
    <r>
      <rPr>
        <b/>
        <sz val="9"/>
        <color theme="4" tint="-0.499984740745262"/>
        <rFont val="Arial"/>
        <family val="2"/>
      </rPr>
      <t>NUMERO DE PROVEEDOR:</t>
    </r>
  </si>
  <si>
    <t>OTRO:</t>
  </si>
  <si>
    <t>ESQUEMA O DIAGRAMA DE INSTALACION (PARA "LINEAS DE PRODUCCIÓN").</t>
  </si>
  <si>
    <t>CERTIFICADO(S) DE ORIGEN (EN CASO DE QUE APLIQUE).</t>
  </si>
  <si>
    <t>X</t>
  </si>
  <si>
    <t>CERTIFICADO DE INSPECCIÓN</t>
  </si>
  <si>
    <t>NO. CERTIFICADO</t>
  </si>
  <si>
    <t>COLADA</t>
  </si>
  <si>
    <t>PESO NETO</t>
  </si>
  <si>
    <t>ALEACION</t>
  </si>
  <si>
    <t>C</t>
  </si>
  <si>
    <t>Mn</t>
  </si>
  <si>
    <t>P</t>
  </si>
  <si>
    <t>S</t>
  </si>
  <si>
    <t>Si</t>
  </si>
  <si>
    <t>Al</t>
  </si>
  <si>
    <t>N</t>
  </si>
  <si>
    <t>B</t>
  </si>
  <si>
    <t>Ti</t>
  </si>
  <si>
    <t>Nb</t>
  </si>
  <si>
    <t>V</t>
  </si>
  <si>
    <t>Ni</t>
  </si>
  <si>
    <t>Cr</t>
  </si>
  <si>
    <t>Cu</t>
  </si>
  <si>
    <t>Mo</t>
  </si>
  <si>
    <t>mm</t>
  </si>
  <si>
    <t>NO. ROLLO</t>
  </si>
  <si>
    <t>COMPOCISION QUIMICA</t>
  </si>
  <si>
    <t>CEV</t>
  </si>
  <si>
    <t>NO. COLADA</t>
  </si>
  <si>
    <t>BL</t>
  </si>
  <si>
    <t>(SI / NO)</t>
  </si>
  <si>
    <t>¿REVESTIMIENTO O RECUBRIMIENTO PLASTICO O METALICO?</t>
  </si>
  <si>
    <t>¿QUE RECUBRIMIENTO TIENE?</t>
  </si>
  <si>
    <t>&gt;= 1.65%</t>
  </si>
  <si>
    <t>&gt;=0.6%</t>
  </si>
  <si>
    <t>&gt;=0.3%</t>
  </si>
  <si>
    <t>&gt;=0.4%</t>
  </si>
  <si>
    <t>&gt;=0.08%</t>
  </si>
  <si>
    <t>&gt;=0.06%</t>
  </si>
  <si>
    <t>&gt;=0.1%</t>
  </si>
  <si>
    <t>&gt;=0.0008%</t>
  </si>
  <si>
    <t>&gt;=0.05%</t>
  </si>
  <si>
    <t>SIN ALEAR</t>
  </si>
  <si>
    <t>A2212530</t>
  </si>
  <si>
    <t>Sn</t>
  </si>
  <si>
    <t>Ca</t>
  </si>
  <si>
    <t>Pb</t>
  </si>
  <si>
    <t>Zr</t>
  </si>
  <si>
    <t xml:space="preserve">FORMA DE LA BARRA </t>
  </si>
  <si>
    <t>ANCHURA
O
DIAMETRO</t>
  </si>
  <si>
    <t>ESPESOR
(en caso que aplique)</t>
  </si>
  <si>
    <t>¿FORJADA, EXTRUIDA, MECANIZADA, ETC)</t>
  </si>
  <si>
    <t>¿TIENE TRABAJOS DE SUPERFICIE ADICIONALES?
(muescas, surcos, cordines, relieves, etc)</t>
  </si>
  <si>
    <t>¿USO QUE LE DARAN A LA BARRA?</t>
  </si>
  <si>
    <t>LONGITUD
(en caso que aplique)</t>
  </si>
  <si>
    <t>FRIO</t>
  </si>
  <si>
    <t xml:space="preserve">
(CALIENTE O FRIO)</t>
  </si>
  <si>
    <t>NUEVA INCAL</t>
  </si>
  <si>
    <t>QUE RESULTO DE LA MEDIA</t>
  </si>
  <si>
    <t>CALIBRADO, ESTIRADO EN FRÍO</t>
  </si>
  <si>
    <t>" "</t>
  </si>
  <si>
    <t>FV25/288</t>
  </si>
  <si>
    <t>IBC1399710</t>
  </si>
  <si>
    <t>CAL. PLETINA 1.1/2" x 3/4" SAE1018</t>
  </si>
  <si>
    <t>SAE1018</t>
  </si>
  <si>
    <t>CAL. PLETINA 2" x 5/8" SAE1018</t>
  </si>
  <si>
    <t>CAL. PLETINA 2" x 1.1/2" SAE1018</t>
  </si>
  <si>
    <t>CAL. PLETINA 3" x 1/2" SAE1018</t>
  </si>
  <si>
    <t>CAL. PLETINA 3.1/2" x 3/4" SAE1018</t>
  </si>
  <si>
    <t>CAL. PLETINA 4" x 3/4" SAE1018</t>
  </si>
  <si>
    <t>CAL. PLETINA 5" x 3/4" SAE1018</t>
  </si>
  <si>
    <t>CAL. PLETINA 5" x 1" SAE1018</t>
  </si>
  <si>
    <t>CAL. CUADRADO 2" SAE1018</t>
  </si>
  <si>
    <t>CAL. PLETINA 1.3/4" x 5/8" SAE1018</t>
  </si>
  <si>
    <t>CAL. PLETINA 2" x 1.3/4" SAE1018</t>
  </si>
  <si>
    <t>CAL. PLETINA 2.1/2" x 1/4" SAE1018</t>
  </si>
  <si>
    <t>CAL. PLETINA 2.1/2" x 5/6" SAE1018</t>
  </si>
  <si>
    <t>CAL. PLETINA 3" x 3/8" SAE1018</t>
  </si>
  <si>
    <t>CAL. PLETINA 3.1/2" x 3/8" SAE1018</t>
  </si>
  <si>
    <t>AV25/338</t>
  </si>
  <si>
    <t>251696B</t>
  </si>
  <si>
    <t>251568N</t>
  </si>
  <si>
    <t>250455B</t>
  </si>
  <si>
    <t>247760X</t>
  </si>
  <si>
    <t>247364X</t>
  </si>
  <si>
    <t>BARRA</t>
  </si>
  <si>
    <t>NO</t>
  </si>
  <si>
    <t>BARRAS DE ACERO SIN ALEAR ACABADAS EN FRIO</t>
  </si>
  <si>
    <t>Aviso Automático ante la Secretaría de Economía: APLICA
Anexo 10 Fracción I, Sector 14: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</si>
</sst>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###&quot;.&quot;##&quot;.&quot;##&quot;.&quot;##"/>
    <numFmt numFmtId="165" formatCode="_-* #,##0.000_-;\-* #,##0.000_-;_-* &quot;-&quot;??_-;_-@_-"/>
    <numFmt numFmtId="166" formatCode="_-* #,##0.0000_-;\-* #,##0.0000_-;_-* &quot;-&quot;??_-;_-@_-"/>
    <numFmt numFmtId="167" formatCode="####&quot;.&quot;##&quot;.&quot;##\ \ &quot;NICO:&quot;##"/>
    <numFmt numFmtId="168" formatCode="0.000"/>
    <numFmt numFmtId="169" formatCode="0.0000"/>
  </numFmts>
  <fonts count="41" x14ac:knownFonts="1">
    <font>
      <sz val="11"/>
      <color theme="1"/>
      <name val="Calibri"/>
      <family val="2"/>
      <scheme val="minor"/>
    </font>
    <font>
      <sz val="11"/>
      <name val="Arial Narrow"/>
      <family val="2"/>
    </font>
    <font>
      <sz val="14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0"/>
      <name val="Arial Narrow"/>
      <family val="2"/>
    </font>
    <font>
      <b/>
      <sz val="11"/>
      <color rgb="FFFF0000"/>
      <name val="Arial Narrow"/>
      <family val="2"/>
    </font>
    <font>
      <b/>
      <sz val="11"/>
      <color theme="0"/>
      <name val="Arial Narrow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8" tint="-0.249977111117893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8"/>
      <color rgb="FF002060"/>
      <name val="Aharoni"/>
      <charset val="177"/>
    </font>
    <font>
      <b/>
      <sz val="9"/>
      <color rgb="FF002060"/>
      <name val="Arial"/>
      <family val="2"/>
    </font>
    <font>
      <b/>
      <sz val="7"/>
      <color rgb="FFFF0000"/>
      <name val="Arial"/>
      <family val="2"/>
    </font>
    <font>
      <sz val="9"/>
      <name val="Arial"/>
      <family val="2"/>
    </font>
    <font>
      <b/>
      <sz val="12"/>
      <color rgb="FF002060"/>
      <name val="Arial"/>
      <family val="2"/>
    </font>
    <font>
      <sz val="12"/>
      <name val="Arial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4"/>
      <color rgb="FF002060"/>
      <name val="Arial"/>
      <family val="2"/>
    </font>
    <font>
      <b/>
      <sz val="9"/>
      <name val="Arial"/>
      <family val="2"/>
    </font>
    <font>
      <b/>
      <sz val="9"/>
      <color theme="4" tint="-0.499984740745262"/>
      <name val="Arial"/>
      <family val="2"/>
    </font>
    <font>
      <b/>
      <sz val="9"/>
      <color theme="8" tint="-0.249977111117893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2060"/>
      <name val="Arial Narrow"/>
      <family val="2"/>
    </font>
    <font>
      <sz val="11"/>
      <color rgb="FF002060"/>
      <name val="Arial Narrow"/>
      <family val="2"/>
    </font>
    <font>
      <sz val="12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3" tint="-0.499984740745262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 Narrow"/>
      <family val="2"/>
    </font>
    <font>
      <sz val="8"/>
      <name val="Calibri"/>
      <family val="2"/>
      <scheme val="minor"/>
    </font>
    <font>
      <b/>
      <sz val="14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8" fillId="0" borderId="0"/>
    <xf numFmtId="0" fontId="9" fillId="0" borderId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</cellStyleXfs>
  <cellXfs count="130">
    <xf numFmtId="0" fontId="0" fillId="0" borderId="0" xfId="0"/>
    <xf numFmtId="0" fontId="0" fillId="0" borderId="1" xfId="0" applyBorder="1" applyAlignment="1">
      <alignment horizontal="center" vertical="center"/>
    </xf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1" fillId="0" borderId="9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9" xfId="0" applyFont="1" applyBorder="1"/>
    <xf numFmtId="0" fontId="13" fillId="0" borderId="0" xfId="0" applyFont="1"/>
    <xf numFmtId="0" fontId="13" fillId="0" borderId="0" xfId="0" applyFont="1" applyAlignment="1">
      <alignment horizontal="right"/>
    </xf>
    <xf numFmtId="22" fontId="14" fillId="0" borderId="0" xfId="0" applyNumberFormat="1" applyFont="1" applyAlignment="1">
      <alignment horizontal="right"/>
    </xf>
    <xf numFmtId="0" fontId="15" fillId="0" borderId="0" xfId="0" applyFont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10" xfId="0" applyFont="1" applyBorder="1" applyAlignment="1">
      <alignment horizontal="center"/>
    </xf>
    <xf numFmtId="0" fontId="26" fillId="0" borderId="0" xfId="0" applyFont="1"/>
    <xf numFmtId="0" fontId="25" fillId="0" borderId="0" xfId="0" applyFont="1"/>
    <xf numFmtId="0" fontId="19" fillId="0" borderId="10" xfId="0" applyFont="1" applyBorder="1"/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26" fillId="0" borderId="9" xfId="0" applyFont="1" applyBorder="1" applyAlignment="1">
      <alignment horizontal="right"/>
    </xf>
    <xf numFmtId="0" fontId="25" fillId="0" borderId="15" xfId="0" applyFont="1" applyBorder="1" applyAlignment="1">
      <alignment horizontal="right"/>
    </xf>
    <xf numFmtId="0" fontId="19" fillId="0" borderId="16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1" fillId="0" borderId="9" xfId="0" applyFont="1" applyBorder="1" applyAlignment="1">
      <alignment horizontal="right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7" fillId="0" borderId="9" xfId="0" applyFont="1" applyBorder="1" applyAlignment="1">
      <alignment horizontal="right" vertical="center"/>
    </xf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29" fillId="0" borderId="10" xfId="0" applyFont="1" applyBorder="1" applyAlignment="1">
      <alignment vertical="center"/>
    </xf>
    <xf numFmtId="0" fontId="30" fillId="0" borderId="0" xfId="0" applyFont="1"/>
    <xf numFmtId="0" fontId="29" fillId="0" borderId="10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1" fillId="0" borderId="15" xfId="0" applyFont="1" applyBorder="1"/>
    <xf numFmtId="0" fontId="21" fillId="0" borderId="16" xfId="0" applyFont="1" applyBorder="1" applyAlignment="1">
      <alignment horizontal="center"/>
    </xf>
    <xf numFmtId="0" fontId="31" fillId="0" borderId="16" xfId="0" applyFont="1" applyBorder="1"/>
    <xf numFmtId="0" fontId="10" fillId="0" borderId="16" xfId="0" applyFont="1" applyBorder="1"/>
    <xf numFmtId="0" fontId="10" fillId="0" borderId="17" xfId="0" applyFont="1" applyBorder="1"/>
    <xf numFmtId="0" fontId="32" fillId="5" borderId="3" xfId="0" applyFont="1" applyFill="1" applyBorder="1" applyAlignment="1">
      <alignment horizontal="center" vertical="center" wrapText="1"/>
    </xf>
    <xf numFmtId="0" fontId="32" fillId="7" borderId="3" xfId="0" applyFont="1" applyFill="1" applyBorder="1" applyAlignment="1">
      <alignment horizontal="center" vertical="center" wrapText="1"/>
    </xf>
    <xf numFmtId="0" fontId="33" fillId="8" borderId="4" xfId="0" applyFont="1" applyFill="1" applyBorder="1" applyAlignment="1">
      <alignment horizontal="center" vertical="center" wrapText="1"/>
    </xf>
    <xf numFmtId="0" fontId="33" fillId="8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17" fillId="0" borderId="4" xfId="0" applyFont="1" applyBorder="1" applyAlignment="1">
      <alignment horizontal="right" wrapText="1"/>
    </xf>
    <xf numFmtId="0" fontId="20" fillId="0" borderId="9" xfId="0" applyFont="1" applyBorder="1" applyAlignment="1">
      <alignment horizontal="center" vertical="center"/>
    </xf>
    <xf numFmtId="0" fontId="17" fillId="0" borderId="4" xfId="0" applyFont="1" applyBorder="1" applyAlignment="1">
      <alignment horizontal="right" vertical="center"/>
    </xf>
    <xf numFmtId="22" fontId="34" fillId="0" borderId="10" xfId="0" applyNumberFormat="1" applyFont="1" applyBorder="1" applyAlignment="1">
      <alignment horizontal="center"/>
    </xf>
    <xf numFmtId="0" fontId="32" fillId="6" borderId="3" xfId="0" applyFont="1" applyFill="1" applyBorder="1" applyAlignment="1">
      <alignment horizontal="center" vertical="center" wrapText="1"/>
    </xf>
    <xf numFmtId="0" fontId="38" fillId="5" borderId="5" xfId="0" applyFont="1" applyFill="1" applyBorder="1" applyAlignment="1">
      <alignment horizontal="center" vertical="center" wrapText="1"/>
    </xf>
    <xf numFmtId="0" fontId="32" fillId="5" borderId="6" xfId="0" applyFont="1" applyFill="1" applyBorder="1" applyAlignment="1">
      <alignment horizontal="center" vertical="center" wrapText="1"/>
    </xf>
    <xf numFmtId="165" fontId="1" fillId="0" borderId="22" xfId="4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2" xfId="0" applyBorder="1"/>
    <xf numFmtId="164" fontId="2" fillId="0" borderId="1" xfId="0" applyNumberFormat="1" applyFont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center" vertical="center" wrapText="1"/>
    </xf>
    <xf numFmtId="0" fontId="32" fillId="7" borderId="22" xfId="0" applyFont="1" applyFill="1" applyBorder="1" applyAlignment="1">
      <alignment horizontal="center" vertical="center" wrapText="1"/>
    </xf>
    <xf numFmtId="0" fontId="32" fillId="6" borderId="22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32" fillId="6" borderId="4" xfId="0" applyFont="1" applyFill="1" applyBorder="1" applyAlignment="1">
      <alignment horizontal="center" vertical="center" wrapText="1"/>
    </xf>
    <xf numFmtId="0" fontId="32" fillId="6" borderId="15" xfId="0" applyFont="1" applyFill="1" applyBorder="1" applyAlignment="1">
      <alignment horizontal="center" vertical="center" wrapText="1"/>
    </xf>
    <xf numFmtId="2" fontId="1" fillId="0" borderId="15" xfId="0" applyNumberFormat="1" applyFont="1" applyBorder="1" applyAlignment="1">
      <alignment horizontal="center" vertical="center" wrapText="1"/>
    </xf>
    <xf numFmtId="168" fontId="1" fillId="0" borderId="15" xfId="0" applyNumberFormat="1" applyFont="1" applyBorder="1" applyAlignment="1">
      <alignment horizontal="center" vertical="center" wrapText="1"/>
    </xf>
    <xf numFmtId="169" fontId="1" fillId="0" borderId="15" xfId="0" applyNumberFormat="1" applyFont="1" applyBorder="1" applyAlignment="1">
      <alignment horizontal="center" vertical="center" wrapText="1"/>
    </xf>
    <xf numFmtId="0" fontId="32" fillId="6" borderId="4" xfId="0" applyFont="1" applyFill="1" applyBorder="1" applyAlignment="1">
      <alignment vertical="center" wrapText="1"/>
    </xf>
    <xf numFmtId="0" fontId="32" fillId="6" borderId="13" xfId="0" applyFont="1" applyFill="1" applyBorder="1" applyAlignment="1">
      <alignment vertical="center" wrapText="1"/>
    </xf>
    <xf numFmtId="0" fontId="32" fillId="6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33" fillId="6" borderId="5" xfId="0" applyFont="1" applyFill="1" applyBorder="1" applyAlignment="1">
      <alignment horizontal="center" vertical="center" wrapText="1"/>
    </xf>
    <xf numFmtId="0" fontId="33" fillId="7" borderId="5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0" fillId="0" borderId="1" xfId="4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2" borderId="1" xfId="4" applyNumberFormat="1" applyFont="1" applyFill="1" applyBorder="1" applyAlignment="1">
      <alignment horizontal="center" vertical="center" wrapText="1"/>
    </xf>
    <xf numFmtId="166" fontId="0" fillId="2" borderId="1" xfId="4" quotePrefix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2" fontId="2" fillId="0" borderId="1" xfId="4" applyNumberFormat="1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7" fillId="0" borderId="6" xfId="0" applyFont="1" applyBorder="1" applyAlignment="1">
      <alignment horizontal="right" vertical="top" wrapText="1"/>
    </xf>
    <xf numFmtId="0" fontId="17" fillId="0" borderId="15" xfId="0" applyFont="1" applyBorder="1" applyAlignment="1">
      <alignment horizontal="right" vertical="top" wrapText="1"/>
    </xf>
    <xf numFmtId="0" fontId="19" fillId="0" borderId="20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4" fillId="4" borderId="4" xfId="0" applyFont="1" applyFill="1" applyBorder="1" applyAlignment="1">
      <alignment horizontal="center"/>
    </xf>
    <xf numFmtId="0" fontId="24" fillId="4" borderId="13" xfId="0" applyFont="1" applyFill="1" applyBorder="1" applyAlignment="1">
      <alignment horizontal="center"/>
    </xf>
    <xf numFmtId="0" fontId="24" fillId="4" borderId="2" xfId="0" applyFont="1" applyFill="1" applyBorder="1" applyAlignment="1">
      <alignment horizontal="center"/>
    </xf>
    <xf numFmtId="0" fontId="25" fillId="7" borderId="18" xfId="0" applyFont="1" applyFill="1" applyBorder="1" applyAlignment="1">
      <alignment horizontal="center" vertical="center"/>
    </xf>
    <xf numFmtId="0" fontId="25" fillId="7" borderId="19" xfId="0" applyFont="1" applyFill="1" applyBorder="1" applyAlignment="1">
      <alignment horizontal="center" vertical="center"/>
    </xf>
    <xf numFmtId="0" fontId="19" fillId="7" borderId="18" xfId="0" applyFont="1" applyFill="1" applyBorder="1" applyAlignment="1">
      <alignment horizontal="center"/>
    </xf>
    <xf numFmtId="0" fontId="19" fillId="7" borderId="19" xfId="0" applyFont="1" applyFill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14" fontId="19" fillId="7" borderId="13" xfId="0" applyNumberFormat="1" applyFont="1" applyFill="1" applyBorder="1" applyAlignment="1">
      <alignment horizontal="center"/>
    </xf>
    <xf numFmtId="0" fontId="19" fillId="7" borderId="13" xfId="0" applyFont="1" applyFill="1" applyBorder="1" applyAlignment="1">
      <alignment horizontal="center"/>
    </xf>
    <xf numFmtId="0" fontId="19" fillId="7" borderId="2" xfId="0" applyFont="1" applyFill="1" applyBorder="1" applyAlignment="1">
      <alignment horizontal="center"/>
    </xf>
    <xf numFmtId="0" fontId="22" fillId="0" borderId="9" xfId="0" applyFont="1" applyBorder="1" applyAlignment="1">
      <alignment wrapText="1"/>
    </xf>
    <xf numFmtId="0" fontId="23" fillId="0" borderId="0" xfId="0" applyFont="1" applyAlignment="1">
      <alignment wrapText="1"/>
    </xf>
    <xf numFmtId="0" fontId="23" fillId="0" borderId="10" xfId="0" applyFont="1" applyBorder="1" applyAlignment="1">
      <alignment wrapText="1"/>
    </xf>
    <xf numFmtId="0" fontId="19" fillId="0" borderId="11" xfId="0" applyFont="1" applyBorder="1" applyAlignment="1">
      <alignment horizontal="center"/>
    </xf>
    <xf numFmtId="0" fontId="21" fillId="7" borderId="13" xfId="0" applyFont="1" applyFill="1" applyBorder="1" applyAlignment="1">
      <alignment horizontal="center"/>
    </xf>
    <xf numFmtId="0" fontId="21" fillId="7" borderId="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32" fillId="5" borderId="4" xfId="0" applyFont="1" applyFill="1" applyBorder="1" applyAlignment="1">
      <alignment horizontal="center" vertical="center" wrapText="1"/>
    </xf>
    <xf numFmtId="0" fontId="32" fillId="5" borderId="2" xfId="0" applyFont="1" applyFill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 wrapText="1"/>
    </xf>
    <xf numFmtId="167" fontId="2" fillId="2" borderId="1" xfId="0" applyNumberFormat="1" applyFont="1" applyFill="1" applyBorder="1" applyAlignment="1">
      <alignment horizontal="center" vertical="center" wrapText="1"/>
    </xf>
  </cellXfs>
  <cellStyles count="6">
    <cellStyle name="Hipervínculo" xfId="1" builtinId="8"/>
    <cellStyle name="Millares" xfId="4" builtinId="3"/>
    <cellStyle name="Millares 2" xfId="5" xr:uid="{372CFE29-4715-4F67-ABFC-B5DD0E6359E7}"/>
    <cellStyle name="Normal" xfId="0" builtinId="0"/>
    <cellStyle name="Normal 2" xfId="3" xr:uid="{00000000-0005-0000-0000-000003000000}"/>
    <cellStyle name="Normal 3" xfId="2" xr:uid="{00000000-0005-0000-0000-00000400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59054</xdr:colOff>
      <xdr:row>1</xdr:row>
      <xdr:rowOff>38100</xdr:rowOff>
    </xdr:from>
    <xdr:ext cx="3457911" cy="781050"/>
    <xdr:pic>
      <xdr:nvPicPr>
        <xdr:cNvPr id="2" name="8 Imagen" descr="C:\Users\Javier Cervantes\Pictures\LOGO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4" y="38100"/>
          <a:ext cx="3457911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masc/Desktop/ALEACION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eaciones"/>
      <sheetName val="EJEMPLOS"/>
      <sheetName val="ALEACIONES MASIVO"/>
      <sheetName val="Hoja1"/>
      <sheetName val="PERFILES EN H e I"/>
      <sheetName val="PRODUCTOS PLANOS"/>
      <sheetName val="CABLES DE ACERO"/>
      <sheetName val="conversion textiles"/>
    </sheetNames>
    <sheetDataSet>
      <sheetData sheetId="0">
        <row r="3">
          <cell r="C3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37"/>
  <sheetViews>
    <sheetView showGridLines="0" zoomScale="85" zoomScaleNormal="85" workbookViewId="0">
      <selection activeCell="C7" sqref="C7:G7"/>
    </sheetView>
  </sheetViews>
  <sheetFormatPr baseColWidth="10" defaultRowHeight="14.5" x14ac:dyDescent="0.35"/>
  <cols>
    <col min="1" max="1" width="5.26953125" customWidth="1"/>
    <col min="2" max="2" width="43.54296875" customWidth="1"/>
    <col min="3" max="3" width="13" customWidth="1"/>
    <col min="4" max="4" width="13.54296875" customWidth="1"/>
    <col min="5" max="5" width="16" customWidth="1"/>
    <col min="6" max="6" width="15.26953125" customWidth="1"/>
    <col min="7" max="7" width="37.26953125" customWidth="1"/>
    <col min="8" max="8" width="5.26953125" customWidth="1"/>
  </cols>
  <sheetData>
    <row r="1" spans="2:8" ht="4.5" customHeight="1" thickBot="1" x14ac:dyDescent="0.4"/>
    <row r="2" spans="2:8" ht="15.5" x14ac:dyDescent="0.35">
      <c r="B2" s="2"/>
      <c r="C2" s="3"/>
      <c r="D2" s="3"/>
      <c r="E2" s="3"/>
      <c r="F2" s="3"/>
      <c r="G2" s="4"/>
    </row>
    <row r="3" spans="2:8" ht="27" customHeight="1" x14ac:dyDescent="0.35">
      <c r="B3" s="5"/>
      <c r="C3" s="6"/>
      <c r="D3" s="6"/>
      <c r="E3" s="6"/>
      <c r="F3" s="6"/>
      <c r="G3" s="7"/>
      <c r="H3" s="8"/>
    </row>
    <row r="4" spans="2:8" s="13" customFormat="1" ht="19.5" customHeight="1" x14ac:dyDescent="0.35">
      <c r="B4" s="9"/>
      <c r="C4" s="10"/>
      <c r="D4" s="10"/>
      <c r="E4" s="11"/>
      <c r="F4" s="12" t="s">
        <v>27</v>
      </c>
      <c r="G4" s="52">
        <f ca="1">NOW()</f>
        <v>45933.600810185184</v>
      </c>
    </row>
    <row r="5" spans="2:8" ht="12.75" customHeight="1" x14ac:dyDescent="0.35">
      <c r="B5" s="93" t="s">
        <v>6</v>
      </c>
      <c r="C5" s="94"/>
      <c r="D5" s="94"/>
      <c r="E5" s="94"/>
      <c r="F5" s="94"/>
      <c r="G5" s="95"/>
    </row>
    <row r="6" spans="2:8" ht="12.75" customHeight="1" thickBot="1" x14ac:dyDescent="0.4">
      <c r="B6" s="93"/>
      <c r="C6" s="94"/>
      <c r="D6" s="94"/>
      <c r="E6" s="94"/>
      <c r="F6" s="94"/>
      <c r="G6" s="95"/>
    </row>
    <row r="7" spans="2:8" ht="34.5" customHeight="1" x14ac:dyDescent="0.35">
      <c r="B7" s="96" t="s">
        <v>40</v>
      </c>
      <c r="C7" s="104"/>
      <c r="D7" s="104"/>
      <c r="E7" s="104"/>
      <c r="F7" s="104"/>
      <c r="G7" s="105"/>
    </row>
    <row r="8" spans="2:8" ht="30.75" customHeight="1" thickBot="1" x14ac:dyDescent="0.4">
      <c r="B8" s="97"/>
      <c r="C8" s="98"/>
      <c r="D8" s="98"/>
      <c r="E8" s="98"/>
      <c r="F8" s="98"/>
      <c r="G8" s="99"/>
    </row>
    <row r="9" spans="2:8" ht="33.75" customHeight="1" x14ac:dyDescent="0.35">
      <c r="B9" s="96" t="s">
        <v>41</v>
      </c>
      <c r="C9" s="106"/>
      <c r="D9" s="106"/>
      <c r="E9" s="106"/>
      <c r="F9" s="106"/>
      <c r="G9" s="107"/>
    </row>
    <row r="10" spans="2:8" ht="34.5" customHeight="1" thickBot="1" x14ac:dyDescent="0.4">
      <c r="B10" s="97"/>
      <c r="C10" s="98"/>
      <c r="D10" s="98"/>
      <c r="E10" s="98"/>
      <c r="F10" s="98"/>
      <c r="G10" s="99"/>
    </row>
    <row r="11" spans="2:8" ht="24.5" thickBot="1" x14ac:dyDescent="0.4">
      <c r="B11" s="49" t="s">
        <v>25</v>
      </c>
      <c r="C11" s="108"/>
      <c r="D11" s="108"/>
      <c r="E11" s="108"/>
      <c r="F11" s="108"/>
      <c r="G11" s="109"/>
    </row>
    <row r="12" spans="2:8" ht="24.5" thickBot="1" x14ac:dyDescent="0.4">
      <c r="B12" s="49" t="s">
        <v>26</v>
      </c>
      <c r="C12" s="110"/>
      <c r="D12" s="111"/>
      <c r="E12" s="111"/>
      <c r="F12" s="111"/>
      <c r="G12" s="112"/>
    </row>
    <row r="13" spans="2:8" ht="24" customHeight="1" thickBot="1" x14ac:dyDescent="0.4">
      <c r="B13" s="51" t="s">
        <v>31</v>
      </c>
      <c r="C13" s="117"/>
      <c r="D13" s="117"/>
      <c r="E13" s="117"/>
      <c r="F13" s="117"/>
      <c r="G13" s="118"/>
    </row>
    <row r="14" spans="2:8" ht="68.25" customHeight="1" thickBot="1" x14ac:dyDescent="0.4">
      <c r="B14" s="113" t="s">
        <v>23</v>
      </c>
      <c r="C14" s="114"/>
      <c r="D14" s="114"/>
      <c r="E14" s="114"/>
      <c r="F14" s="114"/>
      <c r="G14" s="115"/>
    </row>
    <row r="15" spans="2:8" ht="18.5" thickBot="1" x14ac:dyDescent="0.45">
      <c r="B15" s="101" t="s">
        <v>33</v>
      </c>
      <c r="C15" s="102"/>
      <c r="D15" s="102"/>
      <c r="E15" s="102"/>
      <c r="F15" s="102"/>
      <c r="G15" s="103"/>
    </row>
    <row r="16" spans="2:8" ht="15.5" x14ac:dyDescent="0.35">
      <c r="B16" s="50" t="s">
        <v>28</v>
      </c>
      <c r="C16" s="14"/>
      <c r="D16" s="15"/>
      <c r="E16" s="15"/>
      <c r="F16" s="15"/>
      <c r="G16" s="16"/>
    </row>
    <row r="17" spans="2:7" x14ac:dyDescent="0.35">
      <c r="B17" s="48" t="s">
        <v>45</v>
      </c>
      <c r="C17" s="17" t="s">
        <v>37</v>
      </c>
      <c r="D17" s="17"/>
      <c r="E17" s="17"/>
      <c r="F17" s="18"/>
      <c r="G17" s="19"/>
    </row>
    <row r="18" spans="2:7" x14ac:dyDescent="0.35">
      <c r="B18" s="48"/>
      <c r="C18" s="17" t="s">
        <v>36</v>
      </c>
      <c r="D18" s="20"/>
      <c r="E18" s="20"/>
      <c r="F18" s="21"/>
      <c r="G18" s="22"/>
    </row>
    <row r="19" spans="2:7" x14ac:dyDescent="0.35">
      <c r="B19" s="48"/>
      <c r="C19" s="17" t="s">
        <v>44</v>
      </c>
      <c r="D19" s="20"/>
      <c r="E19" s="20"/>
      <c r="F19" s="21"/>
      <c r="G19" s="22"/>
    </row>
    <row r="20" spans="2:7" x14ac:dyDescent="0.35">
      <c r="B20" s="48"/>
      <c r="C20" s="17" t="s">
        <v>38</v>
      </c>
      <c r="E20" s="20"/>
      <c r="F20" s="21"/>
      <c r="G20" s="22"/>
    </row>
    <row r="21" spans="2:7" x14ac:dyDescent="0.35">
      <c r="B21" s="48"/>
      <c r="C21" s="17" t="s">
        <v>29</v>
      </c>
      <c r="E21" s="20"/>
      <c r="F21" s="21"/>
      <c r="G21" s="22"/>
    </row>
    <row r="22" spans="2:7" x14ac:dyDescent="0.35">
      <c r="B22" s="48"/>
      <c r="C22" s="17" t="s">
        <v>30</v>
      </c>
      <c r="D22" s="20"/>
      <c r="E22" s="20"/>
      <c r="F22" s="21"/>
      <c r="G22" s="22"/>
    </row>
    <row r="23" spans="2:7" x14ac:dyDescent="0.35">
      <c r="B23" s="48"/>
      <c r="C23" s="17" t="s">
        <v>43</v>
      </c>
      <c r="D23" s="20"/>
      <c r="E23" s="20"/>
      <c r="F23" s="21"/>
      <c r="G23" s="22"/>
    </row>
    <row r="24" spans="2:7" x14ac:dyDescent="0.35">
      <c r="B24" s="48"/>
      <c r="C24" s="17" t="s">
        <v>35</v>
      </c>
      <c r="D24" s="20"/>
      <c r="E24" s="20"/>
      <c r="F24" s="21"/>
      <c r="G24" s="22"/>
    </row>
    <row r="25" spans="2:7" x14ac:dyDescent="0.35">
      <c r="B25" s="48"/>
      <c r="C25" s="17" t="s">
        <v>39</v>
      </c>
      <c r="D25" s="20"/>
      <c r="E25" s="20"/>
      <c r="F25" s="21"/>
      <c r="G25" s="22"/>
    </row>
    <row r="26" spans="2:7" x14ac:dyDescent="0.35">
      <c r="B26" s="48"/>
      <c r="C26" s="17" t="s">
        <v>34</v>
      </c>
      <c r="D26" s="20"/>
      <c r="E26" s="20"/>
      <c r="F26" s="21"/>
      <c r="G26" s="22"/>
    </row>
    <row r="27" spans="2:7" ht="19.5" customHeight="1" x14ac:dyDescent="0.35">
      <c r="B27" s="23" t="s">
        <v>7</v>
      </c>
      <c r="C27" s="116" t="s">
        <v>46</v>
      </c>
      <c r="D27" s="116"/>
      <c r="E27" s="116"/>
      <c r="F27" s="116"/>
      <c r="G27" s="22"/>
    </row>
    <row r="28" spans="2:7" ht="19.5" customHeight="1" x14ac:dyDescent="0.35">
      <c r="B28" s="23"/>
      <c r="C28" s="100"/>
      <c r="D28" s="100"/>
      <c r="E28" s="100"/>
      <c r="F28" s="100"/>
      <c r="G28" s="22"/>
    </row>
    <row r="29" spans="2:7" ht="15" thickBot="1" x14ac:dyDescent="0.4">
      <c r="B29" s="24"/>
      <c r="C29" s="25"/>
      <c r="D29" s="25"/>
      <c r="E29" s="25"/>
      <c r="F29" s="25"/>
      <c r="G29" s="26"/>
    </row>
    <row r="30" spans="2:7" ht="18.5" thickBot="1" x14ac:dyDescent="0.45">
      <c r="B30" s="101" t="s">
        <v>32</v>
      </c>
      <c r="C30" s="102"/>
      <c r="D30" s="102"/>
      <c r="E30" s="102"/>
      <c r="F30" s="102"/>
      <c r="G30" s="103"/>
    </row>
    <row r="31" spans="2:7" ht="8.25" customHeight="1" x14ac:dyDescent="0.35">
      <c r="B31" s="27"/>
      <c r="C31" s="15"/>
      <c r="D31" s="28"/>
      <c r="E31" s="28"/>
      <c r="F31" s="28"/>
      <c r="G31" s="29"/>
    </row>
    <row r="32" spans="2:7" s="34" customFormat="1" ht="19.5" customHeight="1" x14ac:dyDescent="0.3">
      <c r="B32" s="30" t="s">
        <v>8</v>
      </c>
      <c r="C32" s="47"/>
      <c r="D32" s="31"/>
      <c r="E32" s="32" t="s">
        <v>14</v>
      </c>
      <c r="F32" s="47"/>
      <c r="G32" s="33"/>
    </row>
    <row r="33" spans="2:7" s="34" customFormat="1" ht="22.5" customHeight="1" x14ac:dyDescent="0.3">
      <c r="B33" s="30" t="s">
        <v>10</v>
      </c>
      <c r="C33" s="47"/>
      <c r="D33" s="31"/>
      <c r="E33" s="32" t="s">
        <v>15</v>
      </c>
      <c r="F33" s="47"/>
      <c r="G33" s="33"/>
    </row>
    <row r="34" spans="2:7" s="34" customFormat="1" ht="28.5" customHeight="1" x14ac:dyDescent="0.3">
      <c r="B34" s="30" t="s">
        <v>12</v>
      </c>
      <c r="C34" s="47"/>
      <c r="D34" s="31"/>
      <c r="E34" s="32" t="s">
        <v>11</v>
      </c>
      <c r="F34" s="47"/>
      <c r="G34" s="35"/>
    </row>
    <row r="35" spans="2:7" s="34" customFormat="1" ht="23.25" customHeight="1" x14ac:dyDescent="0.3">
      <c r="B35" s="30" t="s">
        <v>9</v>
      </c>
      <c r="C35" s="47"/>
      <c r="D35" s="31"/>
      <c r="E35" s="32" t="s">
        <v>24</v>
      </c>
      <c r="F35" s="47"/>
      <c r="G35" s="35"/>
    </row>
    <row r="36" spans="2:7" s="34" customFormat="1" ht="24.75" customHeight="1" x14ac:dyDescent="0.3">
      <c r="B36" s="30" t="s">
        <v>13</v>
      </c>
      <c r="C36" s="47"/>
      <c r="D36" s="36"/>
      <c r="E36" s="32" t="s">
        <v>42</v>
      </c>
      <c r="F36" s="47"/>
      <c r="G36" s="33"/>
    </row>
    <row r="37" spans="2:7" ht="16" thickBot="1" x14ac:dyDescent="0.4">
      <c r="B37" s="37"/>
      <c r="C37" s="38"/>
      <c r="D37" s="38"/>
      <c r="E37" s="39"/>
      <c r="F37" s="40"/>
      <c r="G37" s="41"/>
    </row>
  </sheetData>
  <sheetProtection selectLockedCells="1"/>
  <mergeCells count="15">
    <mergeCell ref="B5:G6"/>
    <mergeCell ref="B7:B8"/>
    <mergeCell ref="C8:G8"/>
    <mergeCell ref="C28:F28"/>
    <mergeCell ref="B30:G30"/>
    <mergeCell ref="C7:G7"/>
    <mergeCell ref="C9:G9"/>
    <mergeCell ref="C11:G11"/>
    <mergeCell ref="C12:G12"/>
    <mergeCell ref="B14:G14"/>
    <mergeCell ref="B15:G15"/>
    <mergeCell ref="C27:F27"/>
    <mergeCell ref="C13:G13"/>
    <mergeCell ref="B9:B10"/>
    <mergeCell ref="C10:G10"/>
  </mergeCells>
  <conditionalFormatting sqref="B17:B26 C32:C36 F32:F36">
    <cfRule type="iconSet" priority="7">
      <iconSet iconSet="3Symbols2">
        <cfvo type="percent" val="0"/>
        <cfvo type="percent" val="33"/>
        <cfvo type="percent" val="67"/>
      </iconSet>
    </cfRule>
  </conditionalFormatting>
  <conditionalFormatting sqref="B17:B26">
    <cfRule type="containsText" dxfId="12" priority="3" operator="containsText" text="x">
      <formula>NOT(ISERROR(SEARCH("x",B17)))</formula>
    </cfRule>
    <cfRule type="iconSet" priority="5">
      <iconSet iconSet="3Symbols2">
        <cfvo type="percent" val="0"/>
        <cfvo type="percent" val="33"/>
        <cfvo type="percent" val="67"/>
      </iconSet>
    </cfRule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C32:C36">
    <cfRule type="containsText" dxfId="11" priority="2" operator="containsText" text="X">
      <formula>NOT(ISERROR(SEARCH("X",C32)))</formula>
    </cfRule>
  </conditionalFormatting>
  <conditionalFormatting sqref="F32:F36">
    <cfRule type="containsText" dxfId="10" priority="1" operator="containsText" text="X">
      <formula>NOT(ISERROR(SEARCH("X",F32)))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62" orientation="portrait" r:id="rId1"/>
  <headerFooter>
    <oddFooter>&amp;L&amp;12F-BMA-CT-29
Febrero 07, 2019     
Rev. 03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pageSetUpPr fitToPage="1"/>
  </sheetPr>
  <dimension ref="A1:AB18"/>
  <sheetViews>
    <sheetView tabSelected="1" view="pageBreakPreview" zoomScale="55" zoomScaleNormal="90" zoomScaleSheetLayoutView="55" workbookViewId="0">
      <pane xSplit="5" ySplit="2" topLeftCell="Q3" activePane="bottomRight" state="frozen"/>
      <selection pane="topRight" activeCell="I1" sqref="I1"/>
      <selection pane="bottomLeft" activeCell="A3" sqref="A3"/>
      <selection pane="bottomRight" activeCell="W7" sqref="W7"/>
    </sheetView>
  </sheetViews>
  <sheetFormatPr baseColWidth="10" defaultColWidth="11.453125" defaultRowHeight="14.5" x14ac:dyDescent="0.35"/>
  <cols>
    <col min="1" max="1" width="5.26953125" style="79" bestFit="1" customWidth="1"/>
    <col min="2" max="2" width="8" style="79" customWidth="1"/>
    <col min="3" max="3" width="14.7265625" style="79" customWidth="1"/>
    <col min="4" max="4" width="15.54296875" style="79" customWidth="1"/>
    <col min="5" max="5" width="23.81640625" style="79" customWidth="1"/>
    <col min="6" max="6" width="14.26953125" style="79" customWidth="1"/>
    <col min="7" max="7" width="18.7265625" style="79" bestFit="1" customWidth="1"/>
    <col min="8" max="8" width="19.26953125" style="79" customWidth="1"/>
    <col min="9" max="9" width="18" style="80" customWidth="1"/>
    <col min="10" max="10" width="15.81640625" style="81" customWidth="1"/>
    <col min="11" max="11" width="24.7265625" style="81" customWidth="1"/>
    <col min="12" max="12" width="15.54296875" style="81" customWidth="1"/>
    <col min="13" max="13" width="19.81640625" style="79" customWidth="1"/>
    <col min="14" max="14" width="12.7265625" style="79" customWidth="1"/>
    <col min="15" max="15" width="17.26953125" style="79" customWidth="1"/>
    <col min="16" max="16" width="22.7265625" style="79" customWidth="1"/>
    <col min="17" max="17" width="21.26953125" style="79" customWidth="1"/>
    <col min="18" max="18" width="22.7265625" style="79" customWidth="1"/>
    <col min="19" max="19" width="17.7265625" style="79" customWidth="1"/>
    <col min="20" max="20" width="38.453125" style="79" customWidth="1"/>
    <col min="21" max="21" width="27.7265625" style="79" customWidth="1"/>
    <col min="22" max="22" width="15.26953125" style="79" customWidth="1"/>
    <col min="23" max="23" width="14.81640625" style="79" customWidth="1"/>
    <col min="24" max="24" width="20" style="79" customWidth="1"/>
    <col min="25" max="25" width="29.90625" style="79" customWidth="1"/>
    <col min="26" max="26" width="49.81640625" style="79" customWidth="1"/>
    <col min="27" max="27" width="60.6328125" style="79" customWidth="1"/>
    <col min="28" max="28" width="29.7265625" style="79" customWidth="1"/>
    <col min="29" max="16384" width="11.453125" style="79"/>
  </cols>
  <sheetData>
    <row r="1" spans="1:28" ht="68.150000000000006" customHeight="1" thickBot="1" x14ac:dyDescent="0.4">
      <c r="A1" s="42" t="s">
        <v>2</v>
      </c>
      <c r="B1" s="42" t="s">
        <v>71</v>
      </c>
      <c r="C1" s="42" t="s">
        <v>19</v>
      </c>
      <c r="D1" s="42" t="s">
        <v>20</v>
      </c>
      <c r="E1" s="42" t="s">
        <v>21</v>
      </c>
      <c r="F1" s="42" t="s">
        <v>22</v>
      </c>
      <c r="G1" s="42" t="s">
        <v>90</v>
      </c>
      <c r="H1" s="53" t="s">
        <v>49</v>
      </c>
      <c r="I1" s="55" t="s">
        <v>91</v>
      </c>
      <c r="J1" s="55" t="s">
        <v>92</v>
      </c>
      <c r="K1" s="55" t="s">
        <v>96</v>
      </c>
      <c r="L1" s="55" t="s">
        <v>100</v>
      </c>
      <c r="M1" s="42" t="s">
        <v>47</v>
      </c>
      <c r="N1" s="42" t="s">
        <v>48</v>
      </c>
      <c r="O1" s="43" t="s">
        <v>50</v>
      </c>
      <c r="P1" s="42" t="s">
        <v>98</v>
      </c>
      <c r="Q1" s="42" t="s">
        <v>93</v>
      </c>
      <c r="R1" s="55" t="s">
        <v>94</v>
      </c>
      <c r="S1" s="121" t="s">
        <v>73</v>
      </c>
      <c r="T1" s="122"/>
      <c r="U1" s="42" t="s">
        <v>95</v>
      </c>
      <c r="V1" s="43" t="s">
        <v>3</v>
      </c>
      <c r="W1" s="43" t="s">
        <v>4</v>
      </c>
      <c r="X1" s="44" t="s">
        <v>16</v>
      </c>
      <c r="Y1" s="119" t="s">
        <v>17</v>
      </c>
      <c r="Z1" s="120"/>
      <c r="AA1" s="73" t="s">
        <v>5</v>
      </c>
      <c r="AB1" s="46" t="s">
        <v>18</v>
      </c>
    </row>
    <row r="2" spans="1:28" ht="23.5" customHeight="1" thickBot="1" x14ac:dyDescent="0.4">
      <c r="A2" s="75"/>
      <c r="B2" s="75"/>
      <c r="C2" s="75"/>
      <c r="D2" s="75"/>
      <c r="E2" s="75"/>
      <c r="F2" s="75"/>
      <c r="G2" s="42"/>
      <c r="H2" s="76"/>
      <c r="I2" s="54" t="s">
        <v>102</v>
      </c>
      <c r="J2" s="54" t="s">
        <v>66</v>
      </c>
      <c r="K2" s="54" t="s">
        <v>66</v>
      </c>
      <c r="L2" s="54"/>
      <c r="M2" s="75"/>
      <c r="N2" s="75"/>
      <c r="O2" s="75"/>
      <c r="P2" s="75"/>
      <c r="Q2" s="75"/>
      <c r="R2" s="75"/>
      <c r="S2" s="42" t="s">
        <v>72</v>
      </c>
      <c r="T2" s="42" t="s">
        <v>74</v>
      </c>
      <c r="U2" s="42"/>
      <c r="V2" s="77"/>
      <c r="W2" s="77"/>
      <c r="X2" s="45" t="s">
        <v>1</v>
      </c>
      <c r="Y2" s="46" t="s">
        <v>1</v>
      </c>
      <c r="Z2" s="46" t="s">
        <v>0</v>
      </c>
      <c r="AA2" s="46"/>
      <c r="AB2" s="46"/>
    </row>
    <row r="3" spans="1:28" ht="72.5" thickBot="1" x14ac:dyDescent="0.4">
      <c r="A3" s="74">
        <v>1</v>
      </c>
      <c r="B3" s="91" t="s">
        <v>104</v>
      </c>
      <c r="C3" s="74" t="s">
        <v>99</v>
      </c>
      <c r="D3" s="82" t="s">
        <v>103</v>
      </c>
      <c r="E3" s="60" t="s">
        <v>105</v>
      </c>
      <c r="F3" s="60" t="s">
        <v>106</v>
      </c>
      <c r="G3" s="60" t="s">
        <v>101</v>
      </c>
      <c r="H3" s="92">
        <v>2095</v>
      </c>
      <c r="I3" s="88"/>
      <c r="J3" s="89"/>
      <c r="K3" s="89"/>
      <c r="L3" s="89" t="s">
        <v>127</v>
      </c>
      <c r="M3" s="83" t="s">
        <v>121</v>
      </c>
      <c r="N3" s="84" t="s">
        <v>122</v>
      </c>
      <c r="O3" s="90" t="s">
        <v>84</v>
      </c>
      <c r="P3" s="90" t="s">
        <v>97</v>
      </c>
      <c r="Q3" s="84"/>
      <c r="R3" s="84"/>
      <c r="S3" s="90" t="s">
        <v>128</v>
      </c>
      <c r="T3" s="84"/>
      <c r="U3" s="85"/>
      <c r="V3" s="86"/>
      <c r="W3" s="87"/>
      <c r="X3" s="60"/>
      <c r="Y3" s="129">
        <v>7215509199</v>
      </c>
      <c r="Z3" s="90" t="s">
        <v>129</v>
      </c>
      <c r="AA3" s="90" t="s">
        <v>130</v>
      </c>
      <c r="AB3" s="78"/>
    </row>
    <row r="4" spans="1:28" ht="72.5" thickBot="1" x14ac:dyDescent="0.4">
      <c r="A4" s="74">
        <v>2</v>
      </c>
      <c r="B4" s="91" t="s">
        <v>104</v>
      </c>
      <c r="C4" s="74" t="s">
        <v>99</v>
      </c>
      <c r="D4" s="82" t="s">
        <v>103</v>
      </c>
      <c r="E4" s="60" t="s">
        <v>107</v>
      </c>
      <c r="F4" s="60" t="s">
        <v>106</v>
      </c>
      <c r="G4" s="60" t="s">
        <v>101</v>
      </c>
      <c r="H4" s="92">
        <v>1020</v>
      </c>
      <c r="I4" s="88"/>
      <c r="J4" s="89"/>
      <c r="K4" s="89"/>
      <c r="L4" s="89" t="s">
        <v>127</v>
      </c>
      <c r="M4" s="83" t="s">
        <v>121</v>
      </c>
      <c r="N4" s="84">
        <v>323452</v>
      </c>
      <c r="O4" s="90" t="s">
        <v>84</v>
      </c>
      <c r="P4" s="90" t="s">
        <v>97</v>
      </c>
      <c r="Q4" s="84"/>
      <c r="R4" s="84"/>
      <c r="S4" s="90" t="s">
        <v>128</v>
      </c>
      <c r="T4" s="84"/>
      <c r="U4" s="85"/>
      <c r="V4" s="86"/>
      <c r="W4" s="87"/>
      <c r="X4" s="60"/>
      <c r="Y4" s="129">
        <v>7215509199</v>
      </c>
      <c r="Z4" s="90" t="s">
        <v>129</v>
      </c>
      <c r="AA4" s="90" t="s">
        <v>130</v>
      </c>
      <c r="AB4" s="78"/>
    </row>
    <row r="5" spans="1:28" ht="72.5" thickBot="1" x14ac:dyDescent="0.4">
      <c r="A5" s="74">
        <v>3</v>
      </c>
      <c r="B5" s="91" t="s">
        <v>104</v>
      </c>
      <c r="C5" s="74" t="s">
        <v>99</v>
      </c>
      <c r="D5" s="82" t="s">
        <v>103</v>
      </c>
      <c r="E5" s="60" t="s">
        <v>108</v>
      </c>
      <c r="F5" s="60" t="s">
        <v>106</v>
      </c>
      <c r="G5" s="60" t="s">
        <v>101</v>
      </c>
      <c r="H5" s="92">
        <v>1015</v>
      </c>
      <c r="I5" s="88"/>
      <c r="J5" s="89"/>
      <c r="K5" s="89"/>
      <c r="L5" s="89" t="s">
        <v>127</v>
      </c>
      <c r="M5" s="83" t="s">
        <v>121</v>
      </c>
      <c r="N5" s="84" t="s">
        <v>123</v>
      </c>
      <c r="O5" s="90" t="s">
        <v>84</v>
      </c>
      <c r="P5" s="90" t="s">
        <v>97</v>
      </c>
      <c r="Q5" s="84"/>
      <c r="R5" s="84"/>
      <c r="S5" s="90" t="s">
        <v>128</v>
      </c>
      <c r="T5" s="84"/>
      <c r="U5" s="85"/>
      <c r="V5" s="86"/>
      <c r="W5" s="87"/>
      <c r="X5" s="60"/>
      <c r="Y5" s="129">
        <v>7215509199</v>
      </c>
      <c r="Z5" s="90" t="s">
        <v>129</v>
      </c>
      <c r="AA5" s="90" t="s">
        <v>130</v>
      </c>
      <c r="AB5" s="78"/>
    </row>
    <row r="6" spans="1:28" ht="72.5" thickBot="1" x14ac:dyDescent="0.4">
      <c r="A6" s="74">
        <v>4</v>
      </c>
      <c r="B6" s="91" t="s">
        <v>104</v>
      </c>
      <c r="C6" s="74" t="s">
        <v>99</v>
      </c>
      <c r="D6" s="82" t="s">
        <v>103</v>
      </c>
      <c r="E6" s="60" t="s">
        <v>109</v>
      </c>
      <c r="F6" s="60" t="s">
        <v>106</v>
      </c>
      <c r="G6" s="60" t="s">
        <v>101</v>
      </c>
      <c r="H6" s="92">
        <v>2985</v>
      </c>
      <c r="I6" s="88"/>
      <c r="J6" s="89"/>
      <c r="K6" s="89"/>
      <c r="L6" s="89" t="s">
        <v>127</v>
      </c>
      <c r="M6" s="83" t="s">
        <v>121</v>
      </c>
      <c r="N6" s="84" t="s">
        <v>124</v>
      </c>
      <c r="O6" s="90" t="s">
        <v>84</v>
      </c>
      <c r="P6" s="90" t="s">
        <v>97</v>
      </c>
      <c r="Q6" s="84"/>
      <c r="R6" s="84"/>
      <c r="S6" s="90" t="s">
        <v>128</v>
      </c>
      <c r="T6" s="84"/>
      <c r="U6" s="85"/>
      <c r="V6" s="86"/>
      <c r="W6" s="87"/>
      <c r="X6" s="60"/>
      <c r="Y6" s="129">
        <v>7215509199</v>
      </c>
      <c r="Z6" s="90" t="s">
        <v>129</v>
      </c>
      <c r="AA6" s="90" t="s">
        <v>130</v>
      </c>
      <c r="AB6" s="78"/>
    </row>
    <row r="7" spans="1:28" ht="72.5" thickBot="1" x14ac:dyDescent="0.4">
      <c r="A7" s="74">
        <v>5</v>
      </c>
      <c r="B7" s="91" t="s">
        <v>104</v>
      </c>
      <c r="C7" s="74" t="s">
        <v>99</v>
      </c>
      <c r="D7" s="82" t="s">
        <v>103</v>
      </c>
      <c r="E7" s="60" t="s">
        <v>110</v>
      </c>
      <c r="F7" s="60" t="s">
        <v>106</v>
      </c>
      <c r="G7" s="60" t="s">
        <v>101</v>
      </c>
      <c r="H7" s="92">
        <v>1085</v>
      </c>
      <c r="I7" s="88"/>
      <c r="J7" s="89"/>
      <c r="K7" s="89"/>
      <c r="L7" s="89" t="s">
        <v>127</v>
      </c>
      <c r="M7" s="83" t="s">
        <v>121</v>
      </c>
      <c r="N7" s="84">
        <v>247390</v>
      </c>
      <c r="O7" s="90" t="s">
        <v>84</v>
      </c>
      <c r="P7" s="90" t="s">
        <v>97</v>
      </c>
      <c r="Q7" s="84"/>
      <c r="R7" s="84"/>
      <c r="S7" s="90" t="s">
        <v>128</v>
      </c>
      <c r="T7" s="84"/>
      <c r="U7" s="85"/>
      <c r="V7" s="86"/>
      <c r="W7" s="87"/>
      <c r="X7" s="60"/>
      <c r="Y7" s="129">
        <v>7215509199</v>
      </c>
      <c r="Z7" s="90" t="s">
        <v>129</v>
      </c>
      <c r="AA7" s="90" t="s">
        <v>130</v>
      </c>
      <c r="AB7" s="78"/>
    </row>
    <row r="8" spans="1:28" ht="72.5" thickBot="1" x14ac:dyDescent="0.4">
      <c r="A8" s="74">
        <v>6</v>
      </c>
      <c r="B8" s="91" t="s">
        <v>104</v>
      </c>
      <c r="C8" s="74" t="s">
        <v>99</v>
      </c>
      <c r="D8" s="82" t="s">
        <v>103</v>
      </c>
      <c r="E8" s="60" t="s">
        <v>111</v>
      </c>
      <c r="F8" s="60" t="s">
        <v>106</v>
      </c>
      <c r="G8" s="60" t="s">
        <v>101</v>
      </c>
      <c r="H8" s="92">
        <v>1020</v>
      </c>
      <c r="I8" s="88"/>
      <c r="J8" s="89"/>
      <c r="K8" s="89"/>
      <c r="L8" s="89" t="s">
        <v>127</v>
      </c>
      <c r="M8" s="83" t="s">
        <v>121</v>
      </c>
      <c r="N8" s="84">
        <v>247758</v>
      </c>
      <c r="O8" s="90" t="s">
        <v>84</v>
      </c>
      <c r="P8" s="90" t="s">
        <v>97</v>
      </c>
      <c r="Q8" s="84"/>
      <c r="R8" s="84"/>
      <c r="S8" s="90" t="s">
        <v>128</v>
      </c>
      <c r="T8" s="84"/>
      <c r="U8" s="85"/>
      <c r="V8" s="86"/>
      <c r="W8" s="87"/>
      <c r="X8" s="60"/>
      <c r="Y8" s="129">
        <v>7215509199</v>
      </c>
      <c r="Z8" s="90" t="s">
        <v>129</v>
      </c>
      <c r="AA8" s="90" t="s">
        <v>130</v>
      </c>
      <c r="AB8" s="78"/>
    </row>
    <row r="9" spans="1:28" ht="72.5" thickBot="1" x14ac:dyDescent="0.4">
      <c r="A9" s="74">
        <v>7</v>
      </c>
      <c r="B9" s="91" t="s">
        <v>104</v>
      </c>
      <c r="C9" s="74" t="s">
        <v>99</v>
      </c>
      <c r="D9" s="82" t="s">
        <v>103</v>
      </c>
      <c r="E9" s="60" t="s">
        <v>112</v>
      </c>
      <c r="F9" s="60" t="s">
        <v>106</v>
      </c>
      <c r="G9" s="60" t="s">
        <v>101</v>
      </c>
      <c r="H9" s="92">
        <v>2190</v>
      </c>
      <c r="I9" s="88"/>
      <c r="J9" s="89"/>
      <c r="K9" s="89"/>
      <c r="L9" s="89" t="s">
        <v>127</v>
      </c>
      <c r="M9" s="83" t="s">
        <v>121</v>
      </c>
      <c r="N9" s="84" t="s">
        <v>126</v>
      </c>
      <c r="O9" s="90" t="s">
        <v>84</v>
      </c>
      <c r="P9" s="90" t="s">
        <v>97</v>
      </c>
      <c r="Q9" s="84"/>
      <c r="R9" s="84"/>
      <c r="S9" s="90" t="s">
        <v>128</v>
      </c>
      <c r="T9" s="84"/>
      <c r="U9" s="85"/>
      <c r="V9" s="86"/>
      <c r="W9" s="87"/>
      <c r="X9" s="60"/>
      <c r="Y9" s="129">
        <v>7215509199</v>
      </c>
      <c r="Z9" s="90" t="s">
        <v>129</v>
      </c>
      <c r="AA9" s="90" t="s">
        <v>130</v>
      </c>
      <c r="AB9" s="78"/>
    </row>
    <row r="10" spans="1:28" ht="72.5" thickBot="1" x14ac:dyDescent="0.4">
      <c r="A10" s="74">
        <v>7</v>
      </c>
      <c r="B10" s="91" t="s">
        <v>104</v>
      </c>
      <c r="C10" s="74" t="s">
        <v>99</v>
      </c>
      <c r="D10" s="82" t="s">
        <v>103</v>
      </c>
      <c r="E10" s="60" t="s">
        <v>112</v>
      </c>
      <c r="F10" s="60" t="s">
        <v>106</v>
      </c>
      <c r="G10" s="60" t="s">
        <v>101</v>
      </c>
      <c r="H10" s="92">
        <v>1110</v>
      </c>
      <c r="I10" s="88"/>
      <c r="J10" s="89"/>
      <c r="K10" s="89"/>
      <c r="L10" s="89" t="s">
        <v>127</v>
      </c>
      <c r="M10" s="83" t="s">
        <v>121</v>
      </c>
      <c r="N10" s="84">
        <v>323456</v>
      </c>
      <c r="O10" s="90" t="s">
        <v>84</v>
      </c>
      <c r="P10" s="90" t="s">
        <v>97</v>
      </c>
      <c r="Q10" s="84"/>
      <c r="R10" s="84"/>
      <c r="S10" s="90" t="s">
        <v>128</v>
      </c>
      <c r="T10" s="84"/>
      <c r="U10" s="85"/>
      <c r="V10" s="86"/>
      <c r="W10" s="87"/>
      <c r="X10" s="60"/>
      <c r="Y10" s="129">
        <v>7215509199</v>
      </c>
      <c r="Z10" s="90" t="s">
        <v>129</v>
      </c>
      <c r="AA10" s="90" t="s">
        <v>130</v>
      </c>
      <c r="AB10" s="78"/>
    </row>
    <row r="11" spans="1:28" ht="72.5" thickBot="1" x14ac:dyDescent="0.4">
      <c r="A11" s="74">
        <v>8</v>
      </c>
      <c r="B11" s="91" t="s">
        <v>104</v>
      </c>
      <c r="C11" s="74" t="s">
        <v>99</v>
      </c>
      <c r="D11" s="82" t="s">
        <v>103</v>
      </c>
      <c r="E11" s="60" t="s">
        <v>113</v>
      </c>
      <c r="F11" s="60" t="s">
        <v>106</v>
      </c>
      <c r="G11" s="60" t="s">
        <v>101</v>
      </c>
      <c r="H11" s="92">
        <v>1115</v>
      </c>
      <c r="I11" s="88"/>
      <c r="J11" s="89"/>
      <c r="K11" s="89"/>
      <c r="L11" s="89" t="s">
        <v>127</v>
      </c>
      <c r="M11" s="83" t="s">
        <v>121</v>
      </c>
      <c r="N11" s="84" t="s">
        <v>125</v>
      </c>
      <c r="O11" s="90" t="s">
        <v>84</v>
      </c>
      <c r="P11" s="90" t="s">
        <v>97</v>
      </c>
      <c r="Q11" s="84"/>
      <c r="R11" s="84"/>
      <c r="S11" s="90" t="s">
        <v>128</v>
      </c>
      <c r="T11" s="84"/>
      <c r="U11" s="85"/>
      <c r="V11" s="86"/>
      <c r="W11" s="87"/>
      <c r="X11" s="60"/>
      <c r="Y11" s="129">
        <v>7215509199</v>
      </c>
      <c r="Z11" s="90" t="s">
        <v>129</v>
      </c>
      <c r="AA11" s="90" t="s">
        <v>130</v>
      </c>
      <c r="AB11" s="78"/>
    </row>
    <row r="12" spans="1:28" ht="72.5" thickBot="1" x14ac:dyDescent="0.4">
      <c r="A12" s="74">
        <v>9</v>
      </c>
      <c r="B12" s="91" t="s">
        <v>104</v>
      </c>
      <c r="C12" s="74" t="s">
        <v>99</v>
      </c>
      <c r="D12" s="82" t="s">
        <v>103</v>
      </c>
      <c r="E12" s="60" t="s">
        <v>114</v>
      </c>
      <c r="F12" s="60" t="s">
        <v>106</v>
      </c>
      <c r="G12" s="60" t="s">
        <v>101</v>
      </c>
      <c r="H12" s="92">
        <v>1892</v>
      </c>
      <c r="I12" s="88"/>
      <c r="J12" s="89"/>
      <c r="K12" s="89"/>
      <c r="L12" s="89" t="s">
        <v>127</v>
      </c>
      <c r="M12" s="83" t="s">
        <v>121</v>
      </c>
      <c r="N12" s="84">
        <v>242964</v>
      </c>
      <c r="O12" s="90" t="s">
        <v>84</v>
      </c>
      <c r="P12" s="90" t="s">
        <v>97</v>
      </c>
      <c r="Q12" s="84"/>
      <c r="R12" s="84"/>
      <c r="S12" s="90" t="s">
        <v>128</v>
      </c>
      <c r="T12" s="84"/>
      <c r="U12" s="85"/>
      <c r="V12" s="86"/>
      <c r="W12" s="87"/>
      <c r="X12" s="60"/>
      <c r="Y12" s="129">
        <v>7215509199</v>
      </c>
      <c r="Z12" s="90" t="s">
        <v>129</v>
      </c>
      <c r="AA12" s="90" t="s">
        <v>130</v>
      </c>
      <c r="AB12" s="78"/>
    </row>
    <row r="13" spans="1:28" ht="72.5" thickBot="1" x14ac:dyDescent="0.4">
      <c r="A13" s="74">
        <v>10</v>
      </c>
      <c r="B13" s="91" t="s">
        <v>104</v>
      </c>
      <c r="C13" s="74" t="s">
        <v>99</v>
      </c>
      <c r="D13" s="82" t="s">
        <v>103</v>
      </c>
      <c r="E13" s="60" t="s">
        <v>115</v>
      </c>
      <c r="F13" s="60" t="s">
        <v>106</v>
      </c>
      <c r="G13" s="60" t="s">
        <v>101</v>
      </c>
      <c r="H13" s="92">
        <v>1070</v>
      </c>
      <c r="I13" s="88"/>
      <c r="J13" s="89"/>
      <c r="K13" s="89"/>
      <c r="L13" s="89" t="s">
        <v>127</v>
      </c>
      <c r="M13" s="83" t="s">
        <v>121</v>
      </c>
      <c r="N13" s="84">
        <v>247468</v>
      </c>
      <c r="O13" s="90" t="s">
        <v>84</v>
      </c>
      <c r="P13" s="90" t="s">
        <v>97</v>
      </c>
      <c r="Q13" s="84"/>
      <c r="R13" s="84"/>
      <c r="S13" s="90" t="s">
        <v>128</v>
      </c>
      <c r="T13" s="84"/>
      <c r="U13" s="85"/>
      <c r="V13" s="86"/>
      <c r="W13" s="87"/>
      <c r="X13" s="60"/>
      <c r="Y13" s="129">
        <v>7215509199</v>
      </c>
      <c r="Z13" s="90" t="s">
        <v>129</v>
      </c>
      <c r="AA13" s="90" t="s">
        <v>130</v>
      </c>
      <c r="AB13" s="78"/>
    </row>
    <row r="14" spans="1:28" ht="72.5" thickBot="1" x14ac:dyDescent="0.4">
      <c r="A14" s="74">
        <v>11</v>
      </c>
      <c r="B14" s="91" t="s">
        <v>104</v>
      </c>
      <c r="C14" s="74" t="s">
        <v>99</v>
      </c>
      <c r="D14" s="82" t="s">
        <v>103</v>
      </c>
      <c r="E14" s="60" t="s">
        <v>116</v>
      </c>
      <c r="F14" s="60" t="s">
        <v>106</v>
      </c>
      <c r="G14" s="60" t="s">
        <v>101</v>
      </c>
      <c r="H14" s="92">
        <v>2110</v>
      </c>
      <c r="I14" s="88"/>
      <c r="J14" s="89"/>
      <c r="K14" s="89"/>
      <c r="L14" s="89" t="s">
        <v>127</v>
      </c>
      <c r="M14" s="83" t="s">
        <v>121</v>
      </c>
      <c r="N14" s="84">
        <v>241694</v>
      </c>
      <c r="O14" s="90" t="s">
        <v>84</v>
      </c>
      <c r="P14" s="90" t="s">
        <v>97</v>
      </c>
      <c r="Q14" s="84"/>
      <c r="R14" s="84"/>
      <c r="S14" s="90" t="s">
        <v>128</v>
      </c>
      <c r="T14" s="84"/>
      <c r="U14" s="85"/>
      <c r="V14" s="86"/>
      <c r="W14" s="87"/>
      <c r="X14" s="60"/>
      <c r="Y14" s="129">
        <v>7215509199</v>
      </c>
      <c r="Z14" s="90" t="s">
        <v>129</v>
      </c>
      <c r="AA14" s="90" t="s">
        <v>130</v>
      </c>
      <c r="AB14" s="78"/>
    </row>
    <row r="15" spans="1:28" ht="72.5" thickBot="1" x14ac:dyDescent="0.4">
      <c r="A15" s="74">
        <v>12</v>
      </c>
      <c r="B15" s="91" t="s">
        <v>104</v>
      </c>
      <c r="C15" s="74" t="s">
        <v>99</v>
      </c>
      <c r="D15" s="82" t="s">
        <v>103</v>
      </c>
      <c r="E15" s="60" t="s">
        <v>117</v>
      </c>
      <c r="F15" s="60" t="s">
        <v>106</v>
      </c>
      <c r="G15" s="60" t="s">
        <v>101</v>
      </c>
      <c r="H15" s="92">
        <v>1050</v>
      </c>
      <c r="I15" s="88"/>
      <c r="J15" s="89"/>
      <c r="K15" s="89"/>
      <c r="L15" s="89" t="s">
        <v>127</v>
      </c>
      <c r="M15" s="83" t="s">
        <v>121</v>
      </c>
      <c r="N15" s="84">
        <v>247757</v>
      </c>
      <c r="O15" s="90" t="s">
        <v>84</v>
      </c>
      <c r="P15" s="90" t="s">
        <v>97</v>
      </c>
      <c r="Q15" s="84"/>
      <c r="R15" s="84"/>
      <c r="S15" s="90" t="s">
        <v>128</v>
      </c>
      <c r="T15" s="84"/>
      <c r="U15" s="85"/>
      <c r="V15" s="86"/>
      <c r="W15" s="87"/>
      <c r="X15" s="60"/>
      <c r="Y15" s="129">
        <v>7215509199</v>
      </c>
      <c r="Z15" s="90" t="s">
        <v>129</v>
      </c>
      <c r="AA15" s="90" t="s">
        <v>130</v>
      </c>
      <c r="AB15" s="78"/>
    </row>
    <row r="16" spans="1:28" ht="72.5" thickBot="1" x14ac:dyDescent="0.4">
      <c r="A16" s="74">
        <v>13</v>
      </c>
      <c r="B16" s="91" t="s">
        <v>104</v>
      </c>
      <c r="C16" s="74" t="s">
        <v>99</v>
      </c>
      <c r="D16" s="82" t="s">
        <v>103</v>
      </c>
      <c r="E16" s="60" t="s">
        <v>118</v>
      </c>
      <c r="F16" s="60" t="s">
        <v>106</v>
      </c>
      <c r="G16" s="60" t="s">
        <v>101</v>
      </c>
      <c r="H16" s="92">
        <v>995</v>
      </c>
      <c r="I16" s="88"/>
      <c r="J16" s="89"/>
      <c r="K16" s="89"/>
      <c r="L16" s="89" t="s">
        <v>127</v>
      </c>
      <c r="M16" s="83" t="s">
        <v>121</v>
      </c>
      <c r="N16" s="84">
        <v>231599</v>
      </c>
      <c r="O16" s="90" t="s">
        <v>84</v>
      </c>
      <c r="P16" s="90" t="s">
        <v>97</v>
      </c>
      <c r="Q16" s="84"/>
      <c r="R16" s="84"/>
      <c r="S16" s="90" t="s">
        <v>128</v>
      </c>
      <c r="T16" s="84"/>
      <c r="U16" s="85"/>
      <c r="V16" s="86"/>
      <c r="W16" s="87"/>
      <c r="X16" s="60"/>
      <c r="Y16" s="129">
        <v>7215509199</v>
      </c>
      <c r="Z16" s="90" t="s">
        <v>129</v>
      </c>
      <c r="AA16" s="90" t="s">
        <v>130</v>
      </c>
      <c r="AB16" s="78"/>
    </row>
    <row r="17" spans="1:28" ht="72.5" thickBot="1" x14ac:dyDescent="0.4">
      <c r="A17" s="74">
        <v>14</v>
      </c>
      <c r="B17" s="91" t="s">
        <v>104</v>
      </c>
      <c r="C17" s="74" t="s">
        <v>99</v>
      </c>
      <c r="D17" s="82" t="s">
        <v>103</v>
      </c>
      <c r="E17" s="60" t="s">
        <v>119</v>
      </c>
      <c r="F17" s="60" t="s">
        <v>106</v>
      </c>
      <c r="G17" s="60" t="s">
        <v>101</v>
      </c>
      <c r="H17" s="92">
        <v>2105</v>
      </c>
      <c r="I17" s="88"/>
      <c r="J17" s="89"/>
      <c r="K17" s="89"/>
      <c r="L17" s="89" t="s">
        <v>127</v>
      </c>
      <c r="M17" s="83" t="s">
        <v>121</v>
      </c>
      <c r="N17" s="84">
        <v>247380</v>
      </c>
      <c r="O17" s="90" t="s">
        <v>84</v>
      </c>
      <c r="P17" s="90" t="s">
        <v>97</v>
      </c>
      <c r="Q17" s="84"/>
      <c r="R17" s="84"/>
      <c r="S17" s="90" t="s">
        <v>128</v>
      </c>
      <c r="T17" s="84"/>
      <c r="U17" s="85"/>
      <c r="V17" s="86"/>
      <c r="W17" s="87"/>
      <c r="X17" s="60"/>
      <c r="Y17" s="129">
        <v>7215509199</v>
      </c>
      <c r="Z17" s="90" t="s">
        <v>129</v>
      </c>
      <c r="AA17" s="90" t="s">
        <v>130</v>
      </c>
      <c r="AB17" s="78"/>
    </row>
    <row r="18" spans="1:28" ht="72.5" thickBot="1" x14ac:dyDescent="0.4">
      <c r="A18" s="74">
        <v>15</v>
      </c>
      <c r="B18" s="91" t="s">
        <v>104</v>
      </c>
      <c r="C18" s="74" t="s">
        <v>99</v>
      </c>
      <c r="D18" s="82" t="s">
        <v>103</v>
      </c>
      <c r="E18" s="60" t="s">
        <v>120</v>
      </c>
      <c r="F18" s="60" t="s">
        <v>106</v>
      </c>
      <c r="G18" s="60" t="s">
        <v>101</v>
      </c>
      <c r="H18" s="92">
        <v>1940</v>
      </c>
      <c r="I18" s="88"/>
      <c r="J18" s="89"/>
      <c r="K18" s="89"/>
      <c r="L18" s="89" t="s">
        <v>127</v>
      </c>
      <c r="M18" s="83" t="s">
        <v>121</v>
      </c>
      <c r="N18" s="84">
        <v>247769</v>
      </c>
      <c r="O18" s="90" t="s">
        <v>84</v>
      </c>
      <c r="P18" s="90" t="s">
        <v>97</v>
      </c>
      <c r="Q18" s="84"/>
      <c r="R18" s="84"/>
      <c r="S18" s="90" t="s">
        <v>128</v>
      </c>
      <c r="T18" s="84"/>
      <c r="U18" s="85"/>
      <c r="V18" s="86"/>
      <c r="W18" s="87"/>
      <c r="X18" s="60"/>
      <c r="Y18" s="129">
        <v>7215509199</v>
      </c>
      <c r="Z18" s="90" t="s">
        <v>129</v>
      </c>
      <c r="AA18" s="90" t="s">
        <v>130</v>
      </c>
      <c r="AB18" s="78"/>
    </row>
  </sheetData>
  <autoFilter ref="A2:AB18" xr:uid="{00000000-0001-0000-0100-000000000000}"/>
  <sortState xmlns:xlrd2="http://schemas.microsoft.com/office/spreadsheetml/2017/richdata2" ref="A3:P18">
    <sortCondition ref="D3:D18"/>
    <sortCondition ref="A3:A18"/>
  </sortState>
  <mergeCells count="2">
    <mergeCell ref="Y1:Z1"/>
    <mergeCell ref="S1:T1"/>
  </mergeCells>
  <phoneticPr fontId="39" type="noConversion"/>
  <conditionalFormatting sqref="U3:U18">
    <cfRule type="cellIs" dxfId="9" priority="2" operator="greaterThanOrEqual">
      <formula>355</formula>
    </cfRule>
  </conditionalFormatting>
  <pageMargins left="0.25" right="0.25" top="0.75" bottom="0.75" header="0.3" footer="0.3"/>
  <pageSetup scale="21" orientation="landscape" r:id="rId1"/>
  <colBreaks count="1" manualBreakCount="1">
    <brk id="24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"/>
  <sheetViews>
    <sheetView workbookViewId="0">
      <selection activeCell="F17" sqref="F17"/>
    </sheetView>
  </sheetViews>
  <sheetFormatPr baseColWidth="10" defaultRowHeight="14.5" x14ac:dyDescent="0.35"/>
  <cols>
    <col min="1" max="1" width="14.26953125" customWidth="1"/>
    <col min="2" max="2" width="10.54296875" hidden="1" customWidth="1"/>
    <col min="3" max="3" width="12.26953125" bestFit="1" customWidth="1"/>
  </cols>
  <sheetData>
    <row r="1" spans="1:24" ht="30.75" customHeight="1" thickBot="1" x14ac:dyDescent="0.4">
      <c r="A1" s="126" t="s">
        <v>47</v>
      </c>
      <c r="B1" s="123" t="s">
        <v>67</v>
      </c>
      <c r="C1" s="123" t="s">
        <v>70</v>
      </c>
      <c r="D1" s="70" t="s">
        <v>68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2"/>
      <c r="X1" s="123" t="s">
        <v>50</v>
      </c>
    </row>
    <row r="2" spans="1:24" ht="15" thickBot="1" x14ac:dyDescent="0.4">
      <c r="A2" s="127"/>
      <c r="B2" s="124"/>
      <c r="C2" s="124"/>
      <c r="D2" s="61" t="s">
        <v>51</v>
      </c>
      <c r="E2" s="57" t="s">
        <v>52</v>
      </c>
      <c r="F2" s="61" t="s">
        <v>53</v>
      </c>
      <c r="G2" s="61" t="s">
        <v>54</v>
      </c>
      <c r="H2" s="57" t="s">
        <v>55</v>
      </c>
      <c r="I2" s="57" t="s">
        <v>56</v>
      </c>
      <c r="J2" s="57" t="s">
        <v>64</v>
      </c>
      <c r="K2" s="57" t="s">
        <v>62</v>
      </c>
      <c r="L2" s="57" t="s">
        <v>63</v>
      </c>
      <c r="M2" s="57" t="s">
        <v>65</v>
      </c>
      <c r="N2" s="57" t="s">
        <v>86</v>
      </c>
      <c r="O2" s="61" t="s">
        <v>57</v>
      </c>
      <c r="P2" s="57" t="s">
        <v>61</v>
      </c>
      <c r="Q2" s="57" t="s">
        <v>60</v>
      </c>
      <c r="R2" s="57" t="s">
        <v>59</v>
      </c>
      <c r="S2" s="57" t="s">
        <v>58</v>
      </c>
      <c r="T2" s="57" t="s">
        <v>87</v>
      </c>
      <c r="U2" s="65" t="s">
        <v>88</v>
      </c>
      <c r="V2" s="65" t="s">
        <v>89</v>
      </c>
      <c r="W2" s="65" t="s">
        <v>69</v>
      </c>
      <c r="X2" s="124"/>
    </row>
    <row r="3" spans="1:24" ht="15" thickBot="1" x14ac:dyDescent="0.4">
      <c r="A3" s="128"/>
      <c r="B3" s="125"/>
      <c r="C3" s="125"/>
      <c r="D3" s="62"/>
      <c r="E3" s="63" t="s">
        <v>75</v>
      </c>
      <c r="F3" s="62"/>
      <c r="G3" s="62"/>
      <c r="H3" s="63" t="s">
        <v>76</v>
      </c>
      <c r="I3" s="63" t="s">
        <v>77</v>
      </c>
      <c r="J3" s="63" t="s">
        <v>78</v>
      </c>
      <c r="K3" s="63" t="s">
        <v>77</v>
      </c>
      <c r="L3" s="63" t="s">
        <v>77</v>
      </c>
      <c r="M3" s="63" t="s">
        <v>79</v>
      </c>
      <c r="N3" s="63" t="s">
        <v>81</v>
      </c>
      <c r="O3" s="62"/>
      <c r="P3" s="63" t="s">
        <v>81</v>
      </c>
      <c r="Q3" s="63" t="s">
        <v>80</v>
      </c>
      <c r="R3" s="63" t="s">
        <v>83</v>
      </c>
      <c r="S3" s="63" t="s">
        <v>82</v>
      </c>
      <c r="T3" s="63" t="s">
        <v>81</v>
      </c>
      <c r="U3" s="63" t="s">
        <v>78</v>
      </c>
      <c r="V3" s="63" t="s">
        <v>83</v>
      </c>
      <c r="W3" s="66" t="s">
        <v>81</v>
      </c>
      <c r="X3" s="125"/>
    </row>
    <row r="4" spans="1:24" ht="15" thickBot="1" x14ac:dyDescent="0.4">
      <c r="A4" s="58"/>
      <c r="B4" s="59"/>
      <c r="C4" s="64" t="s">
        <v>85</v>
      </c>
      <c r="D4" s="56">
        <v>0.03</v>
      </c>
      <c r="E4" s="56">
        <v>0.2</v>
      </c>
      <c r="F4" s="56">
        <v>5.0000000000000001E-3</v>
      </c>
      <c r="G4" s="56">
        <v>1E-3</v>
      </c>
      <c r="H4" s="56">
        <v>0.03</v>
      </c>
      <c r="I4" s="56">
        <v>3.2000000000000001E-2</v>
      </c>
      <c r="J4" s="56">
        <v>0.11</v>
      </c>
      <c r="K4" s="56">
        <v>0.04</v>
      </c>
      <c r="L4" s="56">
        <v>0.05</v>
      </c>
      <c r="M4" s="56">
        <v>0.01</v>
      </c>
      <c r="N4" s="56">
        <v>5.0000000000000001E-3</v>
      </c>
      <c r="O4" s="56">
        <v>8.9999999999999993E-3</v>
      </c>
      <c r="P4" s="56">
        <v>3.0000000000000001E-3</v>
      </c>
      <c r="Q4" s="56">
        <v>1E-3</v>
      </c>
      <c r="R4" s="68">
        <v>0</v>
      </c>
      <c r="S4" s="69">
        <v>1E-4</v>
      </c>
      <c r="T4" s="56">
        <v>3.0000000000000001E-3</v>
      </c>
      <c r="U4" s="69">
        <v>0</v>
      </c>
      <c r="V4" s="69">
        <v>0</v>
      </c>
      <c r="W4" s="67"/>
      <c r="X4" s="1" t="s">
        <v>84</v>
      </c>
    </row>
    <row r="5" spans="1:24" ht="15" thickBot="1" x14ac:dyDescent="0.4">
      <c r="A5" s="58"/>
      <c r="B5" s="59"/>
      <c r="C5" s="64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68"/>
      <c r="S5" s="69"/>
      <c r="T5" s="56"/>
      <c r="U5" s="69"/>
      <c r="V5" s="69"/>
      <c r="W5" s="67"/>
      <c r="X5" s="1"/>
    </row>
    <row r="6" spans="1:24" ht="15" thickBot="1" x14ac:dyDescent="0.4">
      <c r="A6" s="58"/>
      <c r="B6" s="59"/>
      <c r="C6" s="64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68"/>
      <c r="S6" s="69"/>
      <c r="T6" s="56"/>
      <c r="U6" s="69"/>
      <c r="V6" s="69"/>
      <c r="W6" s="67"/>
      <c r="X6" s="1"/>
    </row>
    <row r="7" spans="1:24" ht="15" thickBot="1" x14ac:dyDescent="0.4">
      <c r="A7" s="58"/>
      <c r="B7" s="59"/>
      <c r="C7" s="64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68"/>
      <c r="S7" s="69"/>
      <c r="T7" s="56"/>
      <c r="U7" s="69"/>
      <c r="V7" s="69"/>
      <c r="W7" s="67"/>
      <c r="X7" s="1"/>
    </row>
  </sheetData>
  <autoFilter ref="A2:X2" xr:uid="{00000000-0009-0000-0000-000002000000}"/>
  <sortState xmlns:xlrd2="http://schemas.microsoft.com/office/spreadsheetml/2017/richdata2" ref="AG32:AG37">
    <sortCondition ref="AG32"/>
  </sortState>
  <mergeCells count="4">
    <mergeCell ref="X1:X3"/>
    <mergeCell ref="C1:C3"/>
    <mergeCell ref="B1:B3"/>
    <mergeCell ref="A1:A3"/>
  </mergeCells>
  <conditionalFormatting sqref="E4:E7">
    <cfRule type="cellIs" dxfId="8" priority="13" operator="greaterThanOrEqual">
      <formula>1.65</formula>
    </cfRule>
  </conditionalFormatting>
  <conditionalFormatting sqref="H4:H7">
    <cfRule type="cellIs" dxfId="7" priority="14" operator="greaterThanOrEqual">
      <formula>0.6</formula>
    </cfRule>
  </conditionalFormatting>
  <conditionalFormatting sqref="I4:I7 K4:L7">
    <cfRule type="cellIs" dxfId="6" priority="12" operator="greaterThanOrEqual">
      <formula>0.3</formula>
    </cfRule>
  </conditionalFormatting>
  <conditionalFormatting sqref="J4:J7 P4:P7">
    <cfRule type="cellIs" dxfId="5" priority="10" operator="greaterThanOrEqual">
      <formula>0.4</formula>
    </cfRule>
  </conditionalFormatting>
  <conditionalFormatting sqref="N4:N7">
    <cfRule type="cellIs" dxfId="4" priority="4" operator="greaterThanOrEqual">
      <formula>0.1</formula>
    </cfRule>
  </conditionalFormatting>
  <conditionalFormatting sqref="Q4:Q7">
    <cfRule type="cellIs" dxfId="3" priority="8" operator="greaterThanOrEqual">
      <formula>0.06</formula>
    </cfRule>
  </conditionalFormatting>
  <conditionalFormatting sqref="R4:R7">
    <cfRule type="cellIs" dxfId="2" priority="9" operator="greaterThanOrEqual">
      <formula>0.05</formula>
    </cfRule>
  </conditionalFormatting>
  <conditionalFormatting sqref="T4:T7">
    <cfRule type="cellIs" dxfId="1" priority="3" operator="greaterThanOrEqual">
      <formula>0.1</formula>
    </cfRule>
  </conditionalFormatting>
  <conditionalFormatting sqref="V4:V7">
    <cfRule type="cellIs" dxfId="0" priority="1" operator="greaterThanOrEqual">
      <formula>0.05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1</vt:lpstr>
      <vt:lpstr>2</vt:lpstr>
      <vt:lpstr>ALEACIONES</vt:lpstr>
      <vt:lpstr>'1'!Área_de_impresión</vt:lpstr>
      <vt:lpstr>'2'!Área_de_impresión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bmasc</dc:creator>
  <cp:lastModifiedBy>Elias Castellanos</cp:lastModifiedBy>
  <cp:lastPrinted>2022-01-26T23:22:08Z</cp:lastPrinted>
  <dcterms:created xsi:type="dcterms:W3CDTF">2020-09-28T16:04:36Z</dcterms:created>
  <dcterms:modified xsi:type="dcterms:W3CDTF">2025-10-03T20:25:31Z</dcterms:modified>
</cp:coreProperties>
</file>