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erviacero.sharepoint.com/sites/AbastecimientosSE/Documentos compartidos/Aduana/CARTAS 3.1.8/CARTAS 3.1.8 EXCEL 2024/"/>
    </mc:Choice>
  </mc:AlternateContent>
  <xr:revisionPtr revIDLastSave="2063" documentId="8_{184795A9-20B7-4E5C-B931-2031F9789B2F}" xr6:coauthVersionLast="47" xr6:coauthVersionMax="47" xr10:uidLastSave="{6F2BAF81-CFB3-41BD-82FF-903DEC9F7017}"/>
  <bookViews>
    <workbookView xWindow="-120" yWindow="-120" windowWidth="29040" windowHeight="15720" firstSheet="25" activeTab="28" xr2:uid="{48076DF1-DCC5-4126-880D-BFB9136E262B}"/>
  </bookViews>
  <sheets>
    <sheet name="FRACCIONES" sheetId="2" r:id="rId1"/>
    <sheet name="NUEVA INCAL FV24-38 " sheetId="1" r:id="rId2"/>
    <sheet name="NUEVA INCAL FV24-82" sheetId="3" r:id="rId3"/>
    <sheet name="FV24-143" sheetId="4" r:id="rId4"/>
    <sheet name="FV24-140" sheetId="5" r:id="rId5"/>
    <sheet name="FV24-156" sheetId="6" r:id="rId6"/>
    <sheet name="FV24-171" sheetId="7" r:id="rId7"/>
    <sheet name="FV24-243" sheetId="8" r:id="rId8"/>
    <sheet name="FV24-272" sheetId="9" r:id="rId9"/>
    <sheet name="FV24-322" sheetId="10" r:id="rId10"/>
    <sheet name=" FV25-4" sheetId="11" r:id="rId11"/>
    <sheet name="FV25-28" sheetId="12" r:id="rId12"/>
    <sheet name="FV25-41" sheetId="13" r:id="rId13"/>
    <sheet name="FV25-42" sheetId="14" r:id="rId14"/>
    <sheet name="FV25-50" sheetId="15" r:id="rId15"/>
    <sheet name="FV25-52" sheetId="16" r:id="rId16"/>
    <sheet name="FV25-51" sheetId="17" r:id="rId17"/>
    <sheet name="FV25-69" sheetId="18" r:id="rId18"/>
    <sheet name="FV25-85" sheetId="19" r:id="rId19"/>
    <sheet name="FV25-105" sheetId="20" r:id="rId20"/>
    <sheet name="FV25-108" sheetId="21" r:id="rId21"/>
    <sheet name="FV25-127" sheetId="22" r:id="rId22"/>
    <sheet name="FV25-128" sheetId="23" r:id="rId23"/>
    <sheet name="FV25-154" sheetId="24" r:id="rId24"/>
    <sheet name="FV25-224" sheetId="25" r:id="rId25"/>
    <sheet name="FV25-225" sheetId="26" r:id="rId26"/>
    <sheet name="FV25-254" sheetId="27" r:id="rId27"/>
    <sheet name="FV25-288" sheetId="28" r:id="rId28"/>
    <sheet name="FV25-296" sheetId="29" r:id="rId29"/>
  </sheets>
  <definedNames>
    <definedName name="_xlnm._FilterDatabase" localSheetId="20" hidden="1">'FV25-108'!$B$17:$F$37</definedName>
    <definedName name="_xlnm.Print_Area" localSheetId="10">' FV25-4'!$B$3:$F$48</definedName>
    <definedName name="_xlnm.Print_Area" localSheetId="4">'FV24-140'!$B$1:$F$42</definedName>
    <definedName name="_xlnm.Print_Area" localSheetId="3">'FV24-143'!$B$1:$F$50</definedName>
    <definedName name="_xlnm.Print_Area" localSheetId="5">'FV24-156'!$B$1:$F$52</definedName>
    <definedName name="_xlnm.Print_Area" localSheetId="6">'FV24-171'!$B$1:$F$38</definedName>
    <definedName name="_xlnm.Print_Area" localSheetId="7">'FV24-243'!$B$1:$F$47</definedName>
    <definedName name="_xlnm.Print_Area" localSheetId="8">'FV24-272'!$B$3:$F$49</definedName>
    <definedName name="_xlnm.Print_Area" localSheetId="9">'FV24-322'!$B$3:$F$49</definedName>
    <definedName name="_xlnm.Print_Area" localSheetId="19">'FV25-105'!$B$3:$F$37</definedName>
    <definedName name="_xlnm.Print_Area" localSheetId="20">'FV25-108'!$B$3:$F$47</definedName>
    <definedName name="_xlnm.Print_Area" localSheetId="21">'FV25-127'!$B$3:$F$41</definedName>
    <definedName name="_xlnm.Print_Area" localSheetId="22">'FV25-128'!$B$3:$F$32</definedName>
    <definedName name="_xlnm.Print_Area" localSheetId="23">'FV25-154'!$B$3:$F$33</definedName>
    <definedName name="_xlnm.Print_Area" localSheetId="24">'FV25-224'!$B$3:$F$31</definedName>
    <definedName name="_xlnm.Print_Area" localSheetId="25">'FV25-225'!$B$3:$F$47</definedName>
    <definedName name="_xlnm.Print_Area" localSheetId="26">'FV25-254'!$B$3:$F$47</definedName>
    <definedName name="_xlnm.Print_Area" localSheetId="11">'FV25-28'!$B$3:$F$28</definedName>
    <definedName name="_xlnm.Print_Area" localSheetId="27">'FV25-288'!$B$3:$F$42</definedName>
    <definedName name="_xlnm.Print_Area" localSheetId="28">'FV25-296'!$B$3:$F$47</definedName>
    <definedName name="_xlnm.Print_Area" localSheetId="12">'FV25-41'!$B$3:$F$50</definedName>
    <definedName name="_xlnm.Print_Area" localSheetId="13">'FV25-42'!$B$3:$F$32</definedName>
    <definedName name="_xlnm.Print_Area" localSheetId="14">'FV25-50'!$B$3:$F$48</definedName>
    <definedName name="_xlnm.Print_Area" localSheetId="16">'FV25-51'!$B$3:$F$29</definedName>
    <definedName name="_xlnm.Print_Area" localSheetId="15">'FV25-52'!$B$3:$F$30</definedName>
    <definedName name="_xlnm.Print_Area" localSheetId="17">'FV25-69'!$B$3:$F$40</definedName>
    <definedName name="_xlnm.Print_Area" localSheetId="18">'FV25-85'!$B$3:$F$29</definedName>
    <definedName name="_xlnm.Print_Area" localSheetId="1">'NUEVA INCAL FV24-38 '!$B$73:$F$115</definedName>
    <definedName name="_xlnm.Print_Area" localSheetId="2">'NUEVA INCAL FV24-82'!$B$1:$F$38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29" l="1"/>
  <c r="F38" i="29"/>
  <c r="C38" i="29"/>
  <c r="J15" i="29" s="1"/>
  <c r="F36" i="29"/>
  <c r="F35" i="29"/>
  <c r="F34" i="29"/>
  <c r="F33" i="29"/>
  <c r="F32" i="29"/>
  <c r="F31" i="29"/>
  <c r="F30" i="29"/>
  <c r="F29" i="29"/>
  <c r="F28" i="29"/>
  <c r="F27" i="29"/>
  <c r="F26" i="29"/>
  <c r="F25" i="29"/>
  <c r="F24" i="29"/>
  <c r="F23" i="29"/>
  <c r="F22" i="29"/>
  <c r="F21" i="29"/>
  <c r="F20" i="29"/>
  <c r="F19" i="29"/>
  <c r="F18" i="29"/>
  <c r="F6" i="29"/>
  <c r="C33" i="28"/>
  <c r="J15" i="28" s="1"/>
  <c r="F32" i="28"/>
  <c r="F31" i="28"/>
  <c r="F30" i="28"/>
  <c r="F29" i="28"/>
  <c r="F28" i="28"/>
  <c r="F27" i="28"/>
  <c r="F26" i="28"/>
  <c r="F25" i="28"/>
  <c r="F24" i="28"/>
  <c r="F23" i="28"/>
  <c r="F22" i="28"/>
  <c r="F21" i="28"/>
  <c r="F20" i="28"/>
  <c r="F19" i="28"/>
  <c r="F18" i="28"/>
  <c r="F6" i="28"/>
  <c r="C38" i="27"/>
  <c r="J15" i="27" s="1"/>
  <c r="F37" i="27"/>
  <c r="F36" i="27"/>
  <c r="F35" i="27"/>
  <c r="F34" i="27"/>
  <c r="F33" i="27"/>
  <c r="F32" i="27"/>
  <c r="F31" i="27"/>
  <c r="F30" i="27"/>
  <c r="F29" i="27"/>
  <c r="F28" i="27"/>
  <c r="F27" i="27"/>
  <c r="F26" i="27"/>
  <c r="F25" i="27"/>
  <c r="F24" i="27"/>
  <c r="F23" i="27"/>
  <c r="F22" i="27"/>
  <c r="F21" i="27"/>
  <c r="F20" i="27"/>
  <c r="F19" i="27"/>
  <c r="F18" i="27"/>
  <c r="F6" i="27"/>
  <c r="F37" i="26"/>
  <c r="F38" i="26"/>
  <c r="C38" i="26"/>
  <c r="J15" i="26" s="1"/>
  <c r="F36" i="26"/>
  <c r="F35" i="26"/>
  <c r="F34" i="26"/>
  <c r="F33" i="26"/>
  <c r="F32" i="26"/>
  <c r="F31" i="26"/>
  <c r="F30" i="26"/>
  <c r="F29" i="26"/>
  <c r="F28" i="26"/>
  <c r="F27" i="26"/>
  <c r="F26" i="26"/>
  <c r="F25" i="26"/>
  <c r="F24" i="26"/>
  <c r="F23" i="26"/>
  <c r="F22" i="26"/>
  <c r="F21" i="26"/>
  <c r="F20" i="26"/>
  <c r="F19" i="26"/>
  <c r="F18" i="26"/>
  <c r="F6" i="26"/>
  <c r="F22" i="25"/>
  <c r="F21" i="25"/>
  <c r="C22" i="25"/>
  <c r="J15" i="25" s="1"/>
  <c r="F20" i="25"/>
  <c r="F19" i="25"/>
  <c r="F18" i="25"/>
  <c r="F6" i="25"/>
  <c r="C24" i="24"/>
  <c r="J15" i="24" s="1"/>
  <c r="F23" i="24"/>
  <c r="F22" i="24"/>
  <c r="F21" i="24"/>
  <c r="F20" i="24"/>
  <c r="F19" i="24"/>
  <c r="F18" i="24"/>
  <c r="F6" i="24"/>
  <c r="C23" i="23"/>
  <c r="J15" i="23" s="1"/>
  <c r="F22" i="23"/>
  <c r="F21" i="23"/>
  <c r="F20" i="23"/>
  <c r="F19" i="23"/>
  <c r="F18" i="23"/>
  <c r="F6" i="23"/>
  <c r="C15" i="29" l="1"/>
  <c r="F33" i="28"/>
  <c r="C15" i="28" s="1"/>
  <c r="F38" i="27"/>
  <c r="J14" i="27" s="1"/>
  <c r="J14" i="26"/>
  <c r="C15" i="25"/>
  <c r="F24" i="24"/>
  <c r="C15" i="24" s="1"/>
  <c r="F23" i="23"/>
  <c r="J14" i="23" s="1"/>
  <c r="J14" i="29" l="1"/>
  <c r="J14" i="28"/>
  <c r="C15" i="27"/>
  <c r="C15" i="26"/>
  <c r="J14" i="25"/>
  <c r="J14" i="24"/>
  <c r="C15" i="23"/>
  <c r="C32" i="22" l="1"/>
  <c r="J15" i="22" s="1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6" i="22"/>
  <c r="F37" i="21"/>
  <c r="C38" i="21"/>
  <c r="J15" i="21" s="1"/>
  <c r="F36" i="21"/>
  <c r="F35" i="21"/>
  <c r="F34" i="21"/>
  <c r="F33" i="21"/>
  <c r="F32" i="21"/>
  <c r="F31" i="21"/>
  <c r="F30" i="21"/>
  <c r="F29" i="21"/>
  <c r="F28" i="21"/>
  <c r="F27" i="21"/>
  <c r="F26" i="21"/>
  <c r="F25" i="21"/>
  <c r="F24" i="21"/>
  <c r="F23" i="21"/>
  <c r="F22" i="21"/>
  <c r="F21" i="21"/>
  <c r="F38" i="21" s="1"/>
  <c r="F20" i="21"/>
  <c r="F19" i="21"/>
  <c r="F18" i="21"/>
  <c r="F6" i="21"/>
  <c r="C28" i="20"/>
  <c r="F28" i="20"/>
  <c r="F19" i="20"/>
  <c r="F20" i="20"/>
  <c r="F21" i="20"/>
  <c r="F22" i="20"/>
  <c r="F23" i="20"/>
  <c r="F24" i="20"/>
  <c r="F25" i="20"/>
  <c r="F26" i="20"/>
  <c r="F27" i="20"/>
  <c r="F18" i="20"/>
  <c r="J15" i="20"/>
  <c r="F6" i="20"/>
  <c r="C20" i="19"/>
  <c r="F19" i="19"/>
  <c r="F18" i="19"/>
  <c r="J15" i="19"/>
  <c r="F6" i="19"/>
  <c r="C15" i="18"/>
  <c r="F31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18" i="18"/>
  <c r="C31" i="18"/>
  <c r="J15" i="18"/>
  <c r="F6" i="18"/>
  <c r="C21" i="17"/>
  <c r="J15" i="17" s="1"/>
  <c r="F20" i="17"/>
  <c r="F19" i="17"/>
  <c r="F18" i="17"/>
  <c r="F6" i="17"/>
  <c r="F22" i="16"/>
  <c r="C22" i="16"/>
  <c r="J15" i="16" s="1"/>
  <c r="F21" i="16"/>
  <c r="F20" i="16"/>
  <c r="F19" i="16"/>
  <c r="F18" i="16"/>
  <c r="F6" i="16"/>
  <c r="F34" i="15"/>
  <c r="C35" i="15"/>
  <c r="J15" i="15" s="1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6" i="15"/>
  <c r="C15" i="13"/>
  <c r="F24" i="14"/>
  <c r="C24" i="14"/>
  <c r="J15" i="14" s="1"/>
  <c r="F22" i="14"/>
  <c r="F21" i="14"/>
  <c r="F20" i="14"/>
  <c r="F19" i="14"/>
  <c r="F18" i="14"/>
  <c r="F6" i="14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42" i="13" s="1"/>
  <c r="F35" i="13"/>
  <c r="F36" i="13"/>
  <c r="F37" i="13"/>
  <c r="F38" i="13"/>
  <c r="F39" i="13"/>
  <c r="F40" i="13"/>
  <c r="F41" i="13"/>
  <c r="F18" i="13"/>
  <c r="C42" i="13"/>
  <c r="J15" i="13"/>
  <c r="F6" i="13"/>
  <c r="C15" i="12"/>
  <c r="F20" i="12"/>
  <c r="C20" i="12"/>
  <c r="J15" i="12" s="1"/>
  <c r="F19" i="12"/>
  <c r="F18" i="12"/>
  <c r="F6" i="12"/>
  <c r="C40" i="11"/>
  <c r="J15" i="11" s="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6" i="11"/>
  <c r="C15" i="10"/>
  <c r="C41" i="10"/>
  <c r="J15" i="10" s="1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6" i="10"/>
  <c r="C41" i="9"/>
  <c r="J15" i="9" s="1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6" i="9"/>
  <c r="F35" i="8"/>
  <c r="C36" i="8"/>
  <c r="J15" i="8" s="1"/>
  <c r="F34" i="8"/>
  <c r="F33" i="8"/>
  <c r="F32" i="8"/>
  <c r="F31" i="8"/>
  <c r="F30" i="8"/>
  <c r="F29" i="8"/>
  <c r="F28" i="8"/>
  <c r="F27" i="8"/>
  <c r="F24" i="8"/>
  <c r="F26" i="8"/>
  <c r="F25" i="8"/>
  <c r="F23" i="8"/>
  <c r="F22" i="8"/>
  <c r="F21" i="8"/>
  <c r="F20" i="8"/>
  <c r="F19" i="8"/>
  <c r="F18" i="8"/>
  <c r="F6" i="8"/>
  <c r="C27" i="7"/>
  <c r="J15" i="7" s="1"/>
  <c r="F26" i="7"/>
  <c r="F25" i="7"/>
  <c r="F24" i="7"/>
  <c r="F23" i="7"/>
  <c r="F22" i="7"/>
  <c r="F21" i="7"/>
  <c r="F20" i="7"/>
  <c r="F19" i="7"/>
  <c r="F18" i="7"/>
  <c r="F6" i="7"/>
  <c r="C15" i="6"/>
  <c r="F40" i="6"/>
  <c r="F41" i="6"/>
  <c r="C41" i="6"/>
  <c r="J15" i="6" s="1"/>
  <c r="F39" i="6"/>
  <c r="F38" i="6"/>
  <c r="F37" i="6"/>
  <c r="F36" i="6"/>
  <c r="F35" i="6"/>
  <c r="F34" i="6"/>
  <c r="F33" i="6"/>
  <c r="F32" i="6"/>
  <c r="F31" i="6"/>
  <c r="F30" i="6"/>
  <c r="F19" i="6"/>
  <c r="F29" i="6"/>
  <c r="F28" i="6"/>
  <c r="F27" i="6"/>
  <c r="F26" i="6"/>
  <c r="F25" i="6"/>
  <c r="F24" i="6"/>
  <c r="F23" i="6"/>
  <c r="F22" i="6"/>
  <c r="F21" i="6"/>
  <c r="F20" i="6"/>
  <c r="F18" i="6"/>
  <c r="F6" i="6"/>
  <c r="C15" i="5"/>
  <c r="C30" i="5"/>
  <c r="C15" i="4"/>
  <c r="J15" i="5"/>
  <c r="F29" i="5"/>
  <c r="F28" i="5"/>
  <c r="F27" i="5"/>
  <c r="F26" i="5"/>
  <c r="F25" i="5"/>
  <c r="F24" i="5"/>
  <c r="F23" i="5"/>
  <c r="F22" i="5"/>
  <c r="F21" i="5"/>
  <c r="F20" i="5"/>
  <c r="F18" i="5"/>
  <c r="F6" i="5"/>
  <c r="F37" i="4"/>
  <c r="F38" i="4"/>
  <c r="C38" i="4"/>
  <c r="J15" i="4" s="1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6" i="4"/>
  <c r="C26" i="3"/>
  <c r="J15" i="3" s="1"/>
  <c r="F25" i="3"/>
  <c r="F24" i="3"/>
  <c r="F23" i="3"/>
  <c r="F22" i="3"/>
  <c r="F21" i="3"/>
  <c r="F20" i="3"/>
  <c r="F19" i="3"/>
  <c r="F18" i="3"/>
  <c r="F6" i="3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K56" i="1"/>
  <c r="K55" i="1"/>
  <c r="K82" i="1"/>
  <c r="K81" i="1"/>
  <c r="J11" i="1"/>
  <c r="C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106" i="1" s="1"/>
  <c r="C82" i="1" s="1"/>
  <c r="F73" i="1"/>
  <c r="C62" i="1"/>
  <c r="F61" i="1"/>
  <c r="F60" i="1"/>
  <c r="F59" i="1"/>
  <c r="F62" i="1" s="1"/>
  <c r="C56" i="1" s="1"/>
  <c r="F47" i="1"/>
  <c r="C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C11" i="1"/>
  <c r="J10" i="1"/>
  <c r="F2" i="1"/>
  <c r="F32" i="22" l="1"/>
  <c r="C15" i="22" s="1"/>
  <c r="J14" i="21"/>
  <c r="J14" i="20"/>
  <c r="C15" i="20"/>
  <c r="F20" i="19"/>
  <c r="C15" i="19" s="1"/>
  <c r="J14" i="18"/>
  <c r="F35" i="15"/>
  <c r="C15" i="15" s="1"/>
  <c r="F21" i="17"/>
  <c r="J14" i="17"/>
  <c r="C15" i="17"/>
  <c r="J14" i="16"/>
  <c r="J14" i="14"/>
  <c r="J14" i="13"/>
  <c r="J14" i="12"/>
  <c r="F40" i="11"/>
  <c r="J14" i="11" s="1"/>
  <c r="F41" i="10"/>
  <c r="J14" i="10" s="1"/>
  <c r="F41" i="9"/>
  <c r="J14" i="9" s="1"/>
  <c r="F36" i="8"/>
  <c r="C15" i="8" s="1"/>
  <c r="F27" i="7"/>
  <c r="C15" i="7" s="1"/>
  <c r="J14" i="6"/>
  <c r="F30" i="5"/>
  <c r="J14" i="5" s="1"/>
  <c r="F26" i="3"/>
  <c r="C15" i="3" s="1"/>
  <c r="J14" i="22" l="1"/>
  <c r="C15" i="21"/>
  <c r="J14" i="19"/>
  <c r="C15" i="16"/>
  <c r="J14" i="15"/>
  <c r="C15" i="14"/>
  <c r="C15" i="11"/>
  <c r="C15" i="9"/>
  <c r="J14" i="8"/>
  <c r="J14" i="7"/>
  <c r="J14" i="4"/>
  <c r="J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tc={4E12A29F-B87B-43D0-AB99-3CE80DD5A988}</author>
  </authors>
  <commentList>
    <comment ref="B9" authorId="0" shapeId="0" xr:uid="{4E12A29F-B87B-43D0-AB99-3CE80DD5A98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Leyenda de representante legal
</t>
      </text>
    </comment>
  </commentList>
</comments>
</file>

<file path=xl/sharedStrings.xml><?xml version="1.0" encoding="utf-8"?>
<sst xmlns="http://schemas.openxmlformats.org/spreadsheetml/2006/main" count="1760" uniqueCount="105">
  <si>
    <t>FRACCIONES</t>
  </si>
  <si>
    <t>NICO</t>
  </si>
  <si>
    <t>FRACCIONES NICO</t>
  </si>
  <si>
    <t>DESCRIPCION</t>
  </si>
  <si>
    <t>Formula para redondeo</t>
  </si>
  <si>
    <t>00</t>
  </si>
  <si>
    <t>FUNDICION EN BRUTO SIN ALEAR EN FORMA DE BARRAS</t>
  </si>
  <si>
    <t>"=redondear(precio unitario x cantidad, 2)"</t>
  </si>
  <si>
    <t>FUNDICION EN BRUTO ALEADO EN FORMA DE BARRAS</t>
  </si>
  <si>
    <t>01</t>
  </si>
  <si>
    <t>PRODUCTO LAMINADO PLANO DE ACERO SIN ALEAR LAMINADO EN CALIENTE</t>
  </si>
  <si>
    <t>PRODUCTOS LAMINADOS PLANOS SIN ALEAR ACABADOS EN FRIO</t>
  </si>
  <si>
    <t>PTE</t>
  </si>
  <si>
    <t>BARRAS DE ACERO SIN ALEAR DE FACIL MECANIZACION ACABADAS EN FRIO</t>
  </si>
  <si>
    <t>99</t>
  </si>
  <si>
    <t>BARRAS DE ACERO SIN ALEAR ACABADAS EN FRIO</t>
  </si>
  <si>
    <t>BARRAS DE ACERO INOXIDABLE LAMINADAS EN CALIENTE</t>
  </si>
  <si>
    <t>BARRAS DE ACERO INOXIDABLE ACABADAS EN FRIO</t>
  </si>
  <si>
    <t>BARRAS DE ACERO INOXIDABLE FORJADAS</t>
  </si>
  <si>
    <t>02</t>
  </si>
  <si>
    <t>PRODUCTO INTERMEDIO DE ACERO ALEADO GRADO HERRAMIENTA</t>
  </si>
  <si>
    <t>PRODUCTO INTERMEDIO DE ACERO ALEADO</t>
  </si>
  <si>
    <t>06</t>
  </si>
  <si>
    <t>PRODUCTO LAMINADO PLANO DE ACERO ALEADO DE ALTA RESISTENCIA LAMINADO EN CALIENTE</t>
  </si>
  <si>
    <t>07</t>
  </si>
  <si>
    <t>PRODUCTO LAMINADO PLANO DE ACERO ALEADO GRADO HERRAMIENTA LAMINADO EN CALIENTE</t>
  </si>
  <si>
    <t>PRODUCTO LAMINADO PLANO DE ACERO ALEADO LAMINADO EN CALIENTE</t>
  </si>
  <si>
    <t>PRODUCTO LAMINADO PLANO LAMINADO EN CALIENTE DE ACERO RAPIDO</t>
  </si>
  <si>
    <t>08</t>
  </si>
  <si>
    <t>PRODUCTO LAMINADO PLANO DE ACERO ALEADO LAMINADO EN CALIENTE GRADO HERRAMIENTA</t>
  </si>
  <si>
    <t>91</t>
  </si>
  <si>
    <t>BARRAS DE ACERO ALEADO LAMINADAS EN CALIENTE GRADO HERRAMIENTA</t>
  </si>
  <si>
    <t>BARRAS DE ACERO ALEADO FORJADAS GRADO HERRAMIENTA</t>
  </si>
  <si>
    <t>BARRAS DE ACERO ALEADO FORJADAS</t>
  </si>
  <si>
    <t>BARRAS DE ACERO ALEADO DE FACIL MECANIZACION ACABADAS EN FRIO</t>
  </si>
  <si>
    <t>BARRAS DE ACERO ALEADO ACABADAS EN FRIO</t>
  </si>
  <si>
    <t>TUBOS DE ACERO ALEADO ESTIRADOS EN FRIO</t>
  </si>
  <si>
    <t>TUBO DE ACERO ALEADO SIN COSTURA LAMINADO EN CALIENTE</t>
  </si>
  <si>
    <t>05</t>
  </si>
  <si>
    <t>BARRAS DE ALUMINIO ALEADO</t>
  </si>
  <si>
    <t>PLACAS DE ALUMINIO ALEADO</t>
  </si>
  <si>
    <t>TITULAR DE LA ADUANA DE ALTAMIRA CAP. JOSÉ RAFAEL DUNCAN DEKIN</t>
  </si>
  <si>
    <t>Leon, Gto</t>
  </si>
  <si>
    <t>TITULAR DE LA ADUANA DE MANZANILLO ING. ARISTEO AGUILAR MEZA</t>
  </si>
  <si>
    <r>
      <t xml:space="preserve">C. </t>
    </r>
    <r>
      <rPr>
        <b/>
        <sz val="11"/>
        <color theme="1"/>
        <rFont val="Aptos Narrow"/>
        <family val="2"/>
        <scheme val="minor"/>
      </rPr>
      <t>LIC.ANA LILIA AMAYA ZAVALA</t>
    </r>
    <r>
      <rPr>
        <sz val="11"/>
        <color theme="1"/>
        <rFont val="Aptos Narrow"/>
        <family val="2"/>
        <scheme val="minor"/>
      </rPr>
      <t xml:space="preserve">  con </t>
    </r>
    <r>
      <rPr>
        <b/>
        <sz val="11"/>
        <color theme="1"/>
        <rFont val="Aptos Narrow"/>
        <family val="2"/>
        <scheme val="minor"/>
      </rPr>
      <t>RFC AAZA701109H47</t>
    </r>
    <r>
      <rPr>
        <sz val="11"/>
        <color theme="1"/>
        <rFont val="Aptos Narrow"/>
        <family val="2"/>
        <scheme val="minor"/>
      </rPr>
      <t xml:space="preserve">, en mi carácter de representante legal de la empresa importadora </t>
    </r>
    <r>
      <rPr>
        <b/>
        <sz val="11"/>
        <color theme="1"/>
        <rFont val="Aptos Narrow"/>
        <family val="2"/>
        <scheme val="minor"/>
      </rPr>
      <t>SERVIACERO ESPECIALES S.A DE C.V</t>
    </r>
    <r>
      <rPr>
        <sz val="11"/>
        <color theme="1"/>
        <rFont val="Aptos Narrow"/>
        <family val="2"/>
        <scheme val="minor"/>
      </rPr>
      <t xml:space="preserve"> , con </t>
    </r>
    <r>
      <rPr>
        <b/>
        <sz val="11"/>
        <color theme="1"/>
        <rFont val="Aptos Narrow"/>
        <family val="2"/>
        <scheme val="minor"/>
      </rPr>
      <t>R.F.C. SES7402068M2</t>
    </r>
    <r>
      <rPr>
        <sz val="11"/>
        <color theme="1"/>
        <rFont val="Aptos Narrow"/>
        <family val="2"/>
        <scheme val="minor"/>
      </rPr>
      <t xml:space="preserve">, personalidad que se acredita con el Instrumento Público Número 12,800, de fecha 30 de noviembre del año 2015 , elaborado por el Notario Público No. 85, el Lic. MARCELO GAY GUERRA , de la demarcación notarial de León Guanajuato, empresa que tiene su domicilio fiscal ubicado en </t>
    </r>
    <r>
      <rPr>
        <b/>
        <sz val="11"/>
        <color theme="1"/>
        <rFont val="Aptos Narrow"/>
        <family val="2"/>
        <scheme val="minor"/>
      </rPr>
      <t>BLVD. FRANCISCO VILLA No. 580 COL. EL PAISAJE C.P. 37480 LEON, GUANAJUATO, MEXICO</t>
    </r>
    <r>
      <rPr>
        <sz val="11"/>
        <color theme="1"/>
        <rFont val="Aptos Narrow"/>
        <family val="2"/>
        <scheme val="minor"/>
      </rPr>
      <t xml:space="preserve">, señalando como domicilio para oír y recibir notificaciones el mismo, con número telefónico (477) 800 27 00 y correo electrónico </t>
    </r>
    <r>
      <rPr>
        <b/>
        <sz val="11"/>
        <color theme="1"/>
        <rFont val="Aptos Narrow"/>
        <family val="2"/>
        <scheme val="minor"/>
      </rPr>
      <t>ana.amaya@serviacero.com</t>
    </r>
    <r>
      <rPr>
        <sz val="11"/>
        <color theme="1"/>
        <rFont val="Aptos Narrow"/>
        <family val="2"/>
        <scheme val="minor"/>
      </rPr>
      <t>, autorizando para los mismos efectos en términos del artículo 18, 18-A y 19 del código fiscal de la federación a los CC. administrador , ante usted respetuosamente comparezco para exponer lo siguiente: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</si>
  <si>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theme="1"/>
        <rFont val="Aptos Narrow"/>
        <family val="2"/>
        <scheme val="minor"/>
      </rPr>
      <t xml:space="preserve">FV24/38 </t>
    </r>
    <r>
      <rPr>
        <sz val="11"/>
        <color theme="1"/>
        <rFont val="Aptos Narrow"/>
        <family val="2"/>
        <scheme val="minor"/>
      </rPr>
      <t>de fecha</t>
    </r>
    <r>
      <rPr>
        <b/>
        <sz val="11"/>
        <color theme="1"/>
        <rFont val="Aptos Narrow"/>
        <family val="2"/>
        <scheme val="minor"/>
      </rPr>
      <t xml:space="preserve"> 30/01/2024</t>
    </r>
    <r>
      <rPr>
        <sz val="11"/>
        <color theme="1"/>
        <rFont val="Aptos Narrow"/>
        <family val="2"/>
        <scheme val="minor"/>
      </rPr>
      <t xml:space="preserve"> de nuestro Proveedor </t>
    </r>
    <r>
      <rPr>
        <b/>
        <sz val="11"/>
        <color theme="1"/>
        <rFont val="Aptos Narrow"/>
        <family val="2"/>
        <scheme val="minor"/>
      </rPr>
      <t>NUEVA INCAL, S.A.U</t>
    </r>
    <r>
      <rPr>
        <sz val="11"/>
        <color theme="1"/>
        <rFont val="Aptos Narrow"/>
        <family val="2"/>
        <scheme val="minor"/>
      </rPr>
      <t xml:space="preserve">. con domicilio en </t>
    </r>
    <r>
      <rPr>
        <b/>
        <sz val="11"/>
        <color theme="1"/>
        <rFont val="Aptos Narrow"/>
        <family val="2"/>
        <scheme val="minor"/>
      </rPr>
      <t>GOIKOIBARRA 24-APARTADO 13, 48300 GERNIKA, BIZKAIA- ESPAÑA</t>
    </r>
    <r>
      <rPr>
        <sz val="11"/>
        <color theme="1"/>
        <rFont val="Aptos Narrow"/>
        <family val="2"/>
        <scheme val="minor"/>
      </rPr>
      <t xml:space="preserve">con TAX ID: </t>
    </r>
    <r>
      <rPr>
        <b/>
        <sz val="11"/>
        <color theme="1"/>
        <rFont val="Aptos Narrow"/>
        <family val="2"/>
        <scheme val="minor"/>
      </rPr>
      <t>ESA48415350</t>
    </r>
    <r>
      <rPr>
        <sz val="11"/>
        <color theme="1"/>
        <rFont val="Aptos Narrow"/>
        <family val="2"/>
        <scheme val="minor"/>
      </rPr>
      <t>.</t>
    </r>
  </si>
  <si>
    <t>Verificación de Montos</t>
  </si>
  <si>
    <t>Incoterm</t>
  </si>
  <si>
    <t>CIF</t>
  </si>
  <si>
    <t>CFR</t>
  </si>
  <si>
    <t>FOB</t>
  </si>
  <si>
    <t>Total factura</t>
  </si>
  <si>
    <t>Seguro</t>
  </si>
  <si>
    <t>KILOS</t>
  </si>
  <si>
    <t>Total peso</t>
  </si>
  <si>
    <t>TONELADAS</t>
  </si>
  <si>
    <t>Factor seguro</t>
  </si>
  <si>
    <t>Descripción de la mercancía</t>
  </si>
  <si>
    <t>Cantidad</t>
  </si>
  <si>
    <t>Unidad de medida</t>
  </si>
  <si>
    <t>P. Unitario USD</t>
  </si>
  <si>
    <t>Valor Comercial USD</t>
  </si>
  <si>
    <t>TOTAL, FACTURA</t>
  </si>
  <si>
    <t xml:space="preserve">                                                           Sin más por el momento, agradezco de antemano la atención brindada.</t>
  </si>
  <si>
    <t>Atentamente</t>
  </si>
  <si>
    <t xml:space="preserve">Lic. Ana Lilia Amaya Zavala </t>
  </si>
  <si>
    <t>Representante legal</t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</si>
  <si>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theme="1"/>
        <rFont val="Aptos Narrow"/>
        <family val="2"/>
        <scheme val="minor"/>
      </rPr>
      <t xml:space="preserve">FV24/41 </t>
    </r>
    <r>
      <rPr>
        <sz val="11"/>
        <color theme="1"/>
        <rFont val="Aptos Narrow"/>
        <family val="2"/>
        <scheme val="minor"/>
      </rPr>
      <t>de fecha</t>
    </r>
    <r>
      <rPr>
        <b/>
        <sz val="11"/>
        <color theme="1"/>
        <rFont val="Aptos Narrow"/>
        <family val="2"/>
        <scheme val="minor"/>
      </rPr>
      <t xml:space="preserve"> 31/01/2024</t>
    </r>
    <r>
      <rPr>
        <sz val="11"/>
        <color theme="1"/>
        <rFont val="Aptos Narrow"/>
        <family val="2"/>
        <scheme val="minor"/>
      </rPr>
      <t xml:space="preserve"> de nuestro Proveedor </t>
    </r>
    <r>
      <rPr>
        <b/>
        <sz val="11"/>
        <color theme="1"/>
        <rFont val="Aptos Narrow"/>
        <family val="2"/>
        <scheme val="minor"/>
      </rPr>
      <t>NUEVA INCAL, S.A.U</t>
    </r>
    <r>
      <rPr>
        <sz val="11"/>
        <color theme="1"/>
        <rFont val="Aptos Narrow"/>
        <family val="2"/>
        <scheme val="minor"/>
      </rPr>
      <t xml:space="preserve">. con domicilio en </t>
    </r>
    <r>
      <rPr>
        <b/>
        <sz val="11"/>
        <color theme="1"/>
        <rFont val="Aptos Narrow"/>
        <family val="2"/>
        <scheme val="minor"/>
      </rPr>
      <t>GOIKOIBARRA 24-APARTADO 13, 48300 GERNIKA, BIZKAIA- ESPAÑA</t>
    </r>
    <r>
      <rPr>
        <sz val="11"/>
        <color theme="1"/>
        <rFont val="Aptos Narrow"/>
        <family val="2"/>
        <scheme val="minor"/>
      </rPr>
      <t xml:space="preserve">con TAX ID: </t>
    </r>
    <r>
      <rPr>
        <b/>
        <sz val="11"/>
        <color theme="1"/>
        <rFont val="Aptos Narrow"/>
        <family val="2"/>
        <scheme val="minor"/>
      </rPr>
      <t>ESA48415350</t>
    </r>
    <r>
      <rPr>
        <sz val="11"/>
        <color theme="1"/>
        <rFont val="Aptos Narrow"/>
        <family val="2"/>
        <scheme val="minor"/>
      </rPr>
      <t>.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</si>
  <si>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theme="1"/>
        <rFont val="Aptos Narrow"/>
        <family val="2"/>
        <scheme val="minor"/>
      </rPr>
      <t xml:space="preserve">FV24/40 </t>
    </r>
    <r>
      <rPr>
        <sz val="11"/>
        <color theme="1"/>
        <rFont val="Aptos Narrow"/>
        <family val="2"/>
        <scheme val="minor"/>
      </rPr>
      <t>de fecha</t>
    </r>
    <r>
      <rPr>
        <b/>
        <sz val="11"/>
        <color theme="1"/>
        <rFont val="Aptos Narrow"/>
        <family val="2"/>
        <scheme val="minor"/>
      </rPr>
      <t xml:space="preserve"> 31/01/2024</t>
    </r>
    <r>
      <rPr>
        <sz val="11"/>
        <color theme="1"/>
        <rFont val="Aptos Narrow"/>
        <family val="2"/>
        <scheme val="minor"/>
      </rPr>
      <t xml:space="preserve"> de nuestro Proveedor </t>
    </r>
    <r>
      <rPr>
        <b/>
        <sz val="11"/>
        <color theme="1"/>
        <rFont val="Aptos Narrow"/>
        <family val="2"/>
        <scheme val="minor"/>
      </rPr>
      <t>NUEVA INCAL, S.A.U</t>
    </r>
    <r>
      <rPr>
        <sz val="11"/>
        <color theme="1"/>
        <rFont val="Aptos Narrow"/>
        <family val="2"/>
        <scheme val="minor"/>
      </rPr>
      <t xml:space="preserve">. con domicilio en </t>
    </r>
    <r>
      <rPr>
        <b/>
        <sz val="11"/>
        <color theme="1"/>
        <rFont val="Aptos Narrow"/>
        <family val="2"/>
        <scheme val="minor"/>
      </rPr>
      <t>GOIKOIBARRA 24-APARTADO 13, 48300 GERNIKA, BIZKAIA- ESPAÑA</t>
    </r>
    <r>
      <rPr>
        <sz val="11"/>
        <color theme="1"/>
        <rFont val="Aptos Narrow"/>
        <family val="2"/>
        <scheme val="minor"/>
      </rPr>
      <t xml:space="preserve">con TAX ID: </t>
    </r>
    <r>
      <rPr>
        <b/>
        <sz val="11"/>
        <color theme="1"/>
        <rFont val="Aptos Narrow"/>
        <family val="2"/>
        <scheme val="minor"/>
      </rPr>
      <t>ESA48415350</t>
    </r>
    <r>
      <rPr>
        <sz val="11"/>
        <color theme="1"/>
        <rFont val="Aptos Narrow"/>
        <family val="2"/>
        <scheme val="minor"/>
      </rPr>
      <t>.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</si>
  <si>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theme="1"/>
        <rFont val="Aptos Narrow"/>
        <family val="2"/>
        <scheme val="minor"/>
      </rPr>
      <t>FV24/82</t>
    </r>
    <r>
      <rPr>
        <sz val="11"/>
        <color theme="1"/>
        <rFont val="Aptos Narrow"/>
        <family val="2"/>
        <scheme val="minor"/>
      </rPr>
      <t>de fecha</t>
    </r>
    <r>
      <rPr>
        <b/>
        <sz val="11"/>
        <color theme="1"/>
        <rFont val="Aptos Narrow"/>
        <family val="2"/>
        <scheme val="minor"/>
      </rPr>
      <t xml:space="preserve"> 27/02/2024</t>
    </r>
    <r>
      <rPr>
        <sz val="11"/>
        <color theme="1"/>
        <rFont val="Aptos Narrow"/>
        <family val="2"/>
        <scheme val="minor"/>
      </rPr>
      <t xml:space="preserve"> de nuestro Proveedor </t>
    </r>
    <r>
      <rPr>
        <b/>
        <sz val="11"/>
        <color theme="1"/>
        <rFont val="Aptos Narrow"/>
        <family val="2"/>
        <scheme val="minor"/>
      </rPr>
      <t>NUEVA INCAL, S.A.U</t>
    </r>
    <r>
      <rPr>
        <sz val="11"/>
        <color theme="1"/>
        <rFont val="Aptos Narrow"/>
        <family val="2"/>
        <scheme val="minor"/>
      </rPr>
      <t xml:space="preserve">. con domicilio en </t>
    </r>
    <r>
      <rPr>
        <b/>
        <sz val="11"/>
        <color theme="1"/>
        <rFont val="Aptos Narrow"/>
        <family val="2"/>
        <scheme val="minor"/>
      </rPr>
      <t>GOIKOIBARRA 24-APARTADO 13, 48300 GERNIKA, BIZKAIA- ESPAÑA</t>
    </r>
    <r>
      <rPr>
        <sz val="11"/>
        <color theme="1"/>
        <rFont val="Aptos Narrow"/>
        <family val="2"/>
        <scheme val="minor"/>
      </rPr>
      <t xml:space="preserve">con TAX ID: </t>
    </r>
    <r>
      <rPr>
        <b/>
        <sz val="11"/>
        <color theme="1"/>
        <rFont val="Aptos Narrow"/>
        <family val="2"/>
        <scheme val="minor"/>
      </rPr>
      <t>ESA48415350</t>
    </r>
    <r>
      <rPr>
        <sz val="11"/>
        <color theme="1"/>
        <rFont val="Aptos Narrow"/>
        <family val="2"/>
        <scheme val="minor"/>
      </rPr>
      <t>.</t>
    </r>
  </si>
  <si>
    <t xml:space="preserve">TITULAR DE LA ADUANA DE ALTAMIRA ING.FAUSTO MANUEL GÓMEZ MIJANGOS </t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</si>
  <si>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theme="1"/>
        <rFont val="Aptos Narrow"/>
        <family val="2"/>
        <scheme val="minor"/>
      </rPr>
      <t>FV24/143</t>
    </r>
    <r>
      <rPr>
        <sz val="11"/>
        <color theme="1"/>
        <rFont val="Aptos Narrow"/>
        <family val="2"/>
        <scheme val="minor"/>
      </rPr>
      <t xml:space="preserve"> de fecha</t>
    </r>
    <r>
      <rPr>
        <b/>
        <sz val="11"/>
        <color theme="1"/>
        <rFont val="Aptos Narrow"/>
        <family val="2"/>
        <scheme val="minor"/>
      </rPr>
      <t xml:space="preserve"> 18/04/2024</t>
    </r>
    <r>
      <rPr>
        <sz val="11"/>
        <color theme="1"/>
        <rFont val="Aptos Narrow"/>
        <family val="2"/>
        <scheme val="minor"/>
      </rPr>
      <t xml:space="preserve"> de nuestro Proveedor </t>
    </r>
    <r>
      <rPr>
        <b/>
        <sz val="11"/>
        <color theme="1"/>
        <rFont val="Aptos Narrow"/>
        <family val="2"/>
        <scheme val="minor"/>
      </rPr>
      <t>NUEVA INCAL, S.A.U</t>
    </r>
    <r>
      <rPr>
        <sz val="11"/>
        <color theme="1"/>
        <rFont val="Aptos Narrow"/>
        <family val="2"/>
        <scheme val="minor"/>
      </rPr>
      <t xml:space="preserve">. con domicilio en </t>
    </r>
    <r>
      <rPr>
        <b/>
        <sz val="11"/>
        <color theme="1"/>
        <rFont val="Aptos Narrow"/>
        <family val="2"/>
        <scheme val="minor"/>
      </rPr>
      <t>GOIKOIBARRA 24-APARTADO 13, 48300 GERNIKA, BIZKAIA- ESPAÑA</t>
    </r>
    <r>
      <rPr>
        <sz val="11"/>
        <color theme="1"/>
        <rFont val="Aptos Narrow"/>
        <family val="2"/>
        <scheme val="minor"/>
      </rPr>
      <t xml:space="preserve">con TAX ID: </t>
    </r>
    <r>
      <rPr>
        <b/>
        <sz val="11"/>
        <color theme="1"/>
        <rFont val="Aptos Narrow"/>
        <family val="2"/>
        <scheme val="minor"/>
      </rPr>
      <t>ESA48415350</t>
    </r>
    <r>
      <rPr>
        <sz val="11"/>
        <color theme="1"/>
        <rFont val="Aptos Narrow"/>
        <family val="2"/>
        <scheme val="minor"/>
      </rPr>
      <t>.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</si>
  <si>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theme="1"/>
        <rFont val="Aptos Narrow"/>
        <family val="2"/>
        <scheme val="minor"/>
      </rPr>
      <t>FV24/140</t>
    </r>
    <r>
      <rPr>
        <sz val="11"/>
        <color theme="1"/>
        <rFont val="Aptos Narrow"/>
        <family val="2"/>
        <scheme val="minor"/>
      </rPr>
      <t xml:space="preserve"> de fecha</t>
    </r>
    <r>
      <rPr>
        <b/>
        <sz val="11"/>
        <color theme="1"/>
        <rFont val="Aptos Narrow"/>
        <family val="2"/>
        <scheme val="minor"/>
      </rPr>
      <t xml:space="preserve"> 18/04/2024</t>
    </r>
    <r>
      <rPr>
        <sz val="11"/>
        <color theme="1"/>
        <rFont val="Aptos Narrow"/>
        <family val="2"/>
        <scheme val="minor"/>
      </rPr>
      <t xml:space="preserve"> de nuestro Proveedor </t>
    </r>
    <r>
      <rPr>
        <b/>
        <sz val="11"/>
        <color theme="1"/>
        <rFont val="Aptos Narrow"/>
        <family val="2"/>
        <scheme val="minor"/>
      </rPr>
      <t>NUEVA INCAL, S.A.U</t>
    </r>
    <r>
      <rPr>
        <sz val="11"/>
        <color theme="1"/>
        <rFont val="Aptos Narrow"/>
        <family val="2"/>
        <scheme val="minor"/>
      </rPr>
      <t xml:space="preserve">. con domicilio en </t>
    </r>
    <r>
      <rPr>
        <b/>
        <sz val="11"/>
        <color theme="1"/>
        <rFont val="Aptos Narrow"/>
        <family val="2"/>
        <scheme val="minor"/>
      </rPr>
      <t>GOIKOIBARRA 24-APARTADO 13, 48300 GERNIKA, BIZKAIA- ESPAÑA</t>
    </r>
    <r>
      <rPr>
        <sz val="11"/>
        <color theme="1"/>
        <rFont val="Aptos Narrow"/>
        <family val="2"/>
        <scheme val="minor"/>
      </rPr>
      <t xml:space="preserve">con TAX ID: </t>
    </r>
    <r>
      <rPr>
        <b/>
        <sz val="11"/>
        <color theme="1"/>
        <rFont val="Aptos Narrow"/>
        <family val="2"/>
        <scheme val="minor"/>
      </rPr>
      <t>ESA48415350</t>
    </r>
    <r>
      <rPr>
        <sz val="11"/>
        <color theme="1"/>
        <rFont val="Aptos Narrow"/>
        <family val="2"/>
        <scheme val="minor"/>
      </rPr>
      <t>.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</si>
  <si>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theme="1"/>
        <rFont val="Aptos Narrow"/>
        <family val="2"/>
        <scheme val="minor"/>
      </rPr>
      <t>FV24/156</t>
    </r>
    <r>
      <rPr>
        <sz val="11"/>
        <color theme="1"/>
        <rFont val="Aptos Narrow"/>
        <family val="2"/>
        <scheme val="minor"/>
      </rPr>
      <t xml:space="preserve"> de fecha</t>
    </r>
    <r>
      <rPr>
        <b/>
        <sz val="11"/>
        <color theme="1"/>
        <rFont val="Aptos Narrow"/>
        <family val="2"/>
        <scheme val="minor"/>
      </rPr>
      <t xml:space="preserve"> 29/04/2024</t>
    </r>
    <r>
      <rPr>
        <sz val="11"/>
        <color theme="1"/>
        <rFont val="Aptos Narrow"/>
        <family val="2"/>
        <scheme val="minor"/>
      </rPr>
      <t xml:space="preserve"> de nuestro Proveedor </t>
    </r>
    <r>
      <rPr>
        <b/>
        <sz val="11"/>
        <color theme="1"/>
        <rFont val="Aptos Narrow"/>
        <family val="2"/>
        <scheme val="minor"/>
      </rPr>
      <t>NUEVA INCAL, S.A.U</t>
    </r>
    <r>
      <rPr>
        <sz val="11"/>
        <color theme="1"/>
        <rFont val="Aptos Narrow"/>
        <family val="2"/>
        <scheme val="minor"/>
      </rPr>
      <t xml:space="preserve">. con domicilio en </t>
    </r>
    <r>
      <rPr>
        <b/>
        <sz val="11"/>
        <color theme="1"/>
        <rFont val="Aptos Narrow"/>
        <family val="2"/>
        <scheme val="minor"/>
      </rPr>
      <t>GOIKOIBARRA 24-APARTADO 13, 48300 GERNIKA, BIZKAIA- ESPAÑA</t>
    </r>
    <r>
      <rPr>
        <sz val="11"/>
        <color theme="1"/>
        <rFont val="Aptos Narrow"/>
        <family val="2"/>
        <scheme val="minor"/>
      </rPr>
      <t xml:space="preserve">con TAX ID: </t>
    </r>
    <r>
      <rPr>
        <b/>
        <sz val="11"/>
        <color theme="1"/>
        <rFont val="Aptos Narrow"/>
        <family val="2"/>
        <scheme val="minor"/>
      </rPr>
      <t>ESA48415350</t>
    </r>
    <r>
      <rPr>
        <sz val="11"/>
        <color theme="1"/>
        <rFont val="Aptos Narrow"/>
        <family val="2"/>
        <scheme val="minor"/>
      </rPr>
      <t>.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</si>
  <si>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</si>
  <si>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theme="1"/>
        <rFont val="Aptos Narrow"/>
        <family val="2"/>
        <scheme val="minor"/>
      </rPr>
      <t>FV24/171</t>
    </r>
    <r>
      <rPr>
        <sz val="11"/>
        <color theme="1"/>
        <rFont val="Aptos Narrow"/>
        <family val="2"/>
        <scheme val="minor"/>
      </rPr>
      <t xml:space="preserve"> de fecha</t>
    </r>
    <r>
      <rPr>
        <b/>
        <sz val="11"/>
        <color theme="1"/>
        <rFont val="Aptos Narrow"/>
        <family val="2"/>
        <scheme val="minor"/>
      </rPr>
      <t xml:space="preserve"> 13/05/2024</t>
    </r>
    <r>
      <rPr>
        <sz val="11"/>
        <color theme="1"/>
        <rFont val="Aptos Narrow"/>
        <family val="2"/>
        <scheme val="minor"/>
      </rPr>
      <t xml:space="preserve"> de nuestro Proveedor </t>
    </r>
    <r>
      <rPr>
        <b/>
        <sz val="11"/>
        <color theme="1"/>
        <rFont val="Aptos Narrow"/>
        <family val="2"/>
        <scheme val="minor"/>
      </rPr>
      <t>NUEVA INCAL, S.A.U</t>
    </r>
    <r>
      <rPr>
        <sz val="11"/>
        <color theme="1"/>
        <rFont val="Aptos Narrow"/>
        <family val="2"/>
        <scheme val="minor"/>
      </rPr>
      <t xml:space="preserve">. con domicilio en </t>
    </r>
    <r>
      <rPr>
        <b/>
        <sz val="11"/>
        <color theme="1"/>
        <rFont val="Aptos Narrow"/>
        <family val="2"/>
        <scheme val="minor"/>
      </rPr>
      <t>GOIKOIBARRA 24-APARTADO 13, 48300 GERNIKA, BIZKAIA- ESPAÑA</t>
    </r>
    <r>
      <rPr>
        <sz val="11"/>
        <color theme="1"/>
        <rFont val="Aptos Narrow"/>
        <family val="2"/>
        <scheme val="minor"/>
      </rPr>
      <t xml:space="preserve">con TAX ID: </t>
    </r>
    <r>
      <rPr>
        <b/>
        <sz val="11"/>
        <color theme="1"/>
        <rFont val="Aptos Narrow"/>
        <family val="2"/>
        <scheme val="minor"/>
      </rPr>
      <t>ESA48415350</t>
    </r>
    <r>
      <rPr>
        <sz val="11"/>
        <color theme="1"/>
        <rFont val="Aptos Narrow"/>
        <family val="2"/>
        <scheme val="minor"/>
      </rPr>
      <t>.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</si>
  <si>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theme="1"/>
        <rFont val="Aptos Narrow"/>
        <family val="2"/>
        <scheme val="minor"/>
      </rPr>
      <t>FV24/243</t>
    </r>
    <r>
      <rPr>
        <sz val="11"/>
        <color theme="1"/>
        <rFont val="Aptos Narrow"/>
        <family val="2"/>
        <scheme val="minor"/>
      </rPr>
      <t xml:space="preserve"> de fecha</t>
    </r>
    <r>
      <rPr>
        <b/>
        <sz val="11"/>
        <color theme="1"/>
        <rFont val="Aptos Narrow"/>
        <family val="2"/>
        <scheme val="minor"/>
      </rPr>
      <t xml:space="preserve"> 04/07/2024</t>
    </r>
    <r>
      <rPr>
        <sz val="11"/>
        <color theme="1"/>
        <rFont val="Aptos Narrow"/>
        <family val="2"/>
        <scheme val="minor"/>
      </rPr>
      <t xml:space="preserve"> de nuestro Proveedor </t>
    </r>
    <r>
      <rPr>
        <b/>
        <sz val="11"/>
        <color theme="1"/>
        <rFont val="Aptos Narrow"/>
        <family val="2"/>
        <scheme val="minor"/>
      </rPr>
      <t>NUEVA INCAL, S.A.U</t>
    </r>
    <r>
      <rPr>
        <sz val="11"/>
        <color theme="1"/>
        <rFont val="Aptos Narrow"/>
        <family val="2"/>
        <scheme val="minor"/>
      </rPr>
      <t xml:space="preserve">. con domicilio en </t>
    </r>
    <r>
      <rPr>
        <b/>
        <sz val="11"/>
        <color theme="1"/>
        <rFont val="Aptos Narrow"/>
        <family val="2"/>
        <scheme val="minor"/>
      </rPr>
      <t>GOIKOIBARRA 24-APARTADO 13, 48300 GERNIKA, BIZKAIA- ESPAÑA</t>
    </r>
    <r>
      <rPr>
        <sz val="11"/>
        <color theme="1"/>
        <rFont val="Aptos Narrow"/>
        <family val="2"/>
        <scheme val="minor"/>
      </rPr>
      <t xml:space="preserve">con TAX ID: </t>
    </r>
    <r>
      <rPr>
        <b/>
        <sz val="11"/>
        <color theme="1"/>
        <rFont val="Aptos Narrow"/>
        <family val="2"/>
        <scheme val="minor"/>
      </rPr>
      <t>ESA48415350</t>
    </r>
    <r>
      <rPr>
        <sz val="11"/>
        <color theme="1"/>
        <rFont val="Aptos Narrow"/>
        <family val="2"/>
        <scheme val="minor"/>
      </rPr>
      <t>.</t>
    </r>
  </si>
  <si>
    <t>USD</t>
  </si>
  <si>
    <t xml:space="preserve">TOTAL, FACTURA USD </t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</si>
  <si>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theme="1"/>
        <rFont val="Aptos Narrow"/>
        <family val="2"/>
        <scheme val="minor"/>
      </rPr>
      <t>FV24/272</t>
    </r>
    <r>
      <rPr>
        <sz val="11"/>
        <color theme="1"/>
        <rFont val="Aptos Narrow"/>
        <family val="2"/>
        <scheme val="minor"/>
      </rPr>
      <t xml:space="preserve"> de fecha</t>
    </r>
    <r>
      <rPr>
        <b/>
        <sz val="11"/>
        <color theme="1"/>
        <rFont val="Aptos Narrow"/>
        <family val="2"/>
        <scheme val="minor"/>
      </rPr>
      <t xml:space="preserve"> 29/07/2024</t>
    </r>
    <r>
      <rPr>
        <sz val="11"/>
        <color theme="1"/>
        <rFont val="Aptos Narrow"/>
        <family val="2"/>
        <scheme val="minor"/>
      </rPr>
      <t xml:space="preserve"> de nuestro Proveedor </t>
    </r>
    <r>
      <rPr>
        <b/>
        <sz val="11"/>
        <color theme="1"/>
        <rFont val="Aptos Narrow"/>
        <family val="2"/>
        <scheme val="minor"/>
      </rPr>
      <t>NUEVA INCAL, S.A.U</t>
    </r>
    <r>
      <rPr>
        <sz val="11"/>
        <color theme="1"/>
        <rFont val="Aptos Narrow"/>
        <family val="2"/>
        <scheme val="minor"/>
      </rPr>
      <t xml:space="preserve">. con domicilio en </t>
    </r>
    <r>
      <rPr>
        <b/>
        <sz val="11"/>
        <color theme="1"/>
        <rFont val="Aptos Narrow"/>
        <family val="2"/>
        <scheme val="minor"/>
      </rPr>
      <t>GOIKOIBARRA 24-APARTADO 13, 48300 GERNIKA, BIZKAIA- ESPAÑA</t>
    </r>
    <r>
      <rPr>
        <sz val="11"/>
        <color theme="1"/>
        <rFont val="Aptos Narrow"/>
        <family val="2"/>
        <scheme val="minor"/>
      </rPr>
      <t xml:space="preserve">con TAX ID: </t>
    </r>
    <r>
      <rPr>
        <b/>
        <sz val="11"/>
        <color theme="1"/>
        <rFont val="Aptos Narrow"/>
        <family val="2"/>
        <scheme val="minor"/>
      </rPr>
      <t>ESA48415350</t>
    </r>
    <r>
      <rPr>
        <sz val="11"/>
        <color theme="1"/>
        <rFont val="Aptos Narrow"/>
        <family val="2"/>
        <scheme val="minor"/>
      </rPr>
      <t>.</t>
    </r>
  </si>
  <si>
    <t xml:space="preserve">                                                                               Sin más por el momento, agradezco de antemano la atención brindada.</t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</si>
  <si>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theme="1"/>
        <rFont val="Aptos Narrow"/>
        <family val="2"/>
        <scheme val="minor"/>
      </rPr>
      <t>FV24/322</t>
    </r>
    <r>
      <rPr>
        <sz val="11"/>
        <color theme="1"/>
        <rFont val="Aptos Narrow"/>
        <family val="2"/>
        <scheme val="minor"/>
      </rPr>
      <t xml:space="preserve"> de fecha</t>
    </r>
    <r>
      <rPr>
        <b/>
        <sz val="11"/>
        <color theme="1"/>
        <rFont val="Aptos Narrow"/>
        <family val="2"/>
        <scheme val="minor"/>
      </rPr>
      <t xml:space="preserve"> 09/10/2024</t>
    </r>
    <r>
      <rPr>
        <sz val="11"/>
        <color theme="1"/>
        <rFont val="Aptos Narrow"/>
        <family val="2"/>
        <scheme val="minor"/>
      </rPr>
      <t xml:space="preserve"> de nuestro Proveedor </t>
    </r>
    <r>
      <rPr>
        <b/>
        <sz val="11"/>
        <color theme="1"/>
        <rFont val="Aptos Narrow"/>
        <family val="2"/>
        <scheme val="minor"/>
      </rPr>
      <t>NUEVA INCAL, S.A.U</t>
    </r>
    <r>
      <rPr>
        <sz val="11"/>
        <color theme="1"/>
        <rFont val="Aptos Narrow"/>
        <family val="2"/>
        <scheme val="minor"/>
      </rPr>
      <t xml:space="preserve">. con domicilio en </t>
    </r>
    <r>
      <rPr>
        <b/>
        <sz val="11"/>
        <color theme="1"/>
        <rFont val="Aptos Narrow"/>
        <family val="2"/>
        <scheme val="minor"/>
      </rPr>
      <t>GOIKOIBARRA No.Ext 24 , No. Int 13 48300 GERNIKA, BIZKAIA- ESPAÑA</t>
    </r>
    <r>
      <rPr>
        <sz val="11"/>
        <color theme="1"/>
        <rFont val="Aptos Narrow"/>
        <family val="2"/>
        <scheme val="minor"/>
      </rPr>
      <t xml:space="preserve">con TAX ID: </t>
    </r>
    <r>
      <rPr>
        <b/>
        <sz val="11"/>
        <color theme="1"/>
        <rFont val="Aptos Narrow"/>
        <family val="2"/>
        <scheme val="minor"/>
      </rPr>
      <t>ESA48415350</t>
    </r>
    <r>
      <rPr>
        <sz val="11"/>
        <color theme="1"/>
        <rFont val="Aptos Narrow"/>
        <family val="2"/>
        <scheme val="minor"/>
      </rPr>
      <t>.</t>
    </r>
  </si>
  <si>
    <t xml:space="preserve">TITULAR DE LA ADUANA DE ALTAMIRA </t>
  </si>
  <si>
    <r>
      <rPr>
        <sz val="11"/>
        <color rgb="FF000000"/>
        <rFont val="Aptos Narrow"/>
        <family val="2"/>
        <scheme val="minor"/>
      </rP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>FV25/4</t>
    </r>
    <r>
      <rPr>
        <sz val="11"/>
        <color rgb="FF000000"/>
        <rFont val="Aptos Narrow"/>
        <family val="2"/>
        <scheme val="minor"/>
      </rPr>
      <t xml:space="preserve"> de fecha</t>
    </r>
    <r>
      <rPr>
        <b/>
        <sz val="11"/>
        <color rgb="FF000000"/>
        <rFont val="Aptos Narrow"/>
        <family val="2"/>
        <scheme val="minor"/>
      </rPr>
      <t xml:space="preserve"> 13/01/2025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</si>
  <si>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>FV25/28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31/01/2025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</si>
  <si>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>FV25/41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14/02/2025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</si>
  <si>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>FV25/42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14/02/2025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</si>
  <si>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C. </t>
    </r>
    <r>
      <rPr>
        <b/>
        <sz val="11"/>
        <color theme="1"/>
        <rFont val="Aptos Narrow"/>
        <family val="2"/>
        <scheme val="minor"/>
      </rPr>
      <t>LIC.ANA LILIA AMAYA ZAVALA</t>
    </r>
    <r>
      <rPr>
        <sz val="11"/>
        <color theme="1"/>
        <rFont val="Aptos Narrow"/>
        <family val="2"/>
        <scheme val="minor"/>
      </rPr>
      <t xml:space="preserve">  con </t>
    </r>
    <r>
      <rPr>
        <b/>
        <sz val="11"/>
        <color theme="1"/>
        <rFont val="Aptos Narrow"/>
        <family val="2"/>
        <scheme val="minor"/>
      </rPr>
      <t>RFC AAZA701109H47</t>
    </r>
    <r>
      <rPr>
        <sz val="11"/>
        <color theme="1"/>
        <rFont val="Aptos Narrow"/>
        <family val="2"/>
        <scheme val="minor"/>
      </rPr>
      <t xml:space="preserve">, en mi carácter de representante legal de la empresa importadora </t>
    </r>
    <r>
      <rPr>
        <b/>
        <sz val="11"/>
        <color theme="1"/>
        <rFont val="Aptos Narrow"/>
        <family val="2"/>
        <scheme val="minor"/>
      </rPr>
      <t>SERVIACERO ESPECIALES S.A DE C.V</t>
    </r>
    <r>
      <rPr>
        <sz val="11"/>
        <color theme="1"/>
        <rFont val="Aptos Narrow"/>
        <family val="2"/>
        <scheme val="minor"/>
      </rPr>
      <t xml:space="preserve"> , con </t>
    </r>
    <r>
      <rPr>
        <b/>
        <sz val="11"/>
        <color theme="1"/>
        <rFont val="Aptos Narrow"/>
        <family val="2"/>
        <scheme val="minor"/>
      </rPr>
      <t>R.F.C. SES7402068M2</t>
    </r>
    <r>
      <rPr>
        <sz val="11"/>
        <color theme="1"/>
        <rFont val="Aptos Narrow"/>
        <family val="2"/>
        <scheme val="minor"/>
      </rPr>
      <t xml:space="preserve">, personalidad que se acredita con el Instrumento Público Número 12,800, de fecha 30 de noviembre del año 2015 , elaborado por el Notario Público No. 85, el Lic. MARCELO GAY GUERRA , de la demarcación notarial de León Guanajuato, empresa que tiene su domicilio fiscal ubicado en </t>
    </r>
    <r>
      <rPr>
        <b/>
        <sz val="11"/>
        <color theme="1"/>
        <rFont val="Aptos Narrow"/>
        <family val="2"/>
        <scheme val="minor"/>
      </rPr>
      <t>BLVD. FCO VILLA No. 580 COL. EL PAISAJE C.P. 37480 LEON, GUANAJUATO, MEXICO</t>
    </r>
    <r>
      <rPr>
        <sz val="11"/>
        <color theme="1"/>
        <rFont val="Aptos Narrow"/>
        <family val="2"/>
        <scheme val="minor"/>
      </rPr>
      <t xml:space="preserve">, señalando como domicilio para oír y recibir notificaciones el mismo, con número telefónico (477) 800 27 00 y correo electrónico </t>
    </r>
    <r>
      <rPr>
        <b/>
        <sz val="11"/>
        <color theme="1"/>
        <rFont val="Aptos Narrow"/>
        <family val="2"/>
        <scheme val="minor"/>
      </rPr>
      <t>ana.amaya@serviacero.com</t>
    </r>
    <r>
      <rPr>
        <sz val="11"/>
        <color theme="1"/>
        <rFont val="Aptos Narrow"/>
        <family val="2"/>
        <scheme val="minor"/>
      </rPr>
      <t>, autorizando para los mismos efectos en términos del artículo 18, 18-A y 19 del código fiscal de la federación a los CC. administrador , ante usted respetuosamente comparezco para exponer lo siguiente: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</si>
  <si>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FV25/52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24/02/2025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</si>
  <si>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FV25/51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24/02/2025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</si>
  <si>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FV25/69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10/03/2025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</si>
  <si>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FV25/50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24/02/2025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</si>
  <si>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FV25/85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19/03/2025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</si>
  <si>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FV25/105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03/04/2025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</si>
  <si>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FV25/108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07/04/2025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</si>
  <si>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FV25/127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15/04</t>
    </r>
    <r>
      <rPr>
        <sz val="11"/>
        <color rgb="FF000000"/>
        <rFont val="Aptos Narrow"/>
        <family val="2"/>
        <scheme val="minor"/>
      </rPr>
      <t>/</t>
    </r>
    <r>
      <rPr>
        <b/>
        <sz val="11"/>
        <color rgb="FF000000"/>
        <rFont val="Aptos Narrow"/>
        <family val="2"/>
        <scheme val="minor"/>
      </rPr>
      <t>2025</t>
    </r>
    <r>
      <rPr>
        <sz val="11"/>
        <color rgb="FF000000"/>
        <rFont val="Aptos Narrow"/>
        <family val="2"/>
        <scheme val="minor"/>
      </rPr>
      <t xml:space="preserve"> d</t>
    </r>
    <r>
      <rPr>
        <sz val="11"/>
        <color rgb="FF000000"/>
        <rFont val="Aptos Narrow"/>
        <family val="2"/>
        <scheme val="minor"/>
      </rPr>
      <t xml:space="preserve">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</si>
  <si>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FV25/128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15/04</t>
    </r>
    <r>
      <rPr>
        <sz val="11"/>
        <color rgb="FF000000"/>
        <rFont val="Aptos Narrow"/>
        <family val="2"/>
        <scheme val="minor"/>
      </rPr>
      <t>/</t>
    </r>
    <r>
      <rPr>
        <b/>
        <sz val="11"/>
        <color rgb="FF000000"/>
        <rFont val="Aptos Narrow"/>
        <family val="2"/>
        <scheme val="minor"/>
      </rPr>
      <t xml:space="preserve">2025 </t>
    </r>
    <r>
      <rPr>
        <sz val="11"/>
        <color rgb="FF000000"/>
        <rFont val="Aptos Narrow"/>
        <family val="2"/>
        <scheme val="minor"/>
      </rPr>
      <t>de</t>
    </r>
    <r>
      <rPr>
        <sz val="11"/>
        <color rgb="FF000000"/>
        <rFont val="Aptos Narrow"/>
        <family val="2"/>
        <scheme val="minor"/>
      </rPr>
      <t xml:space="preserve">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</si>
  <si>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FV25/154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15/05</t>
    </r>
    <r>
      <rPr>
        <sz val="11"/>
        <color rgb="FF000000"/>
        <rFont val="Aptos Narrow"/>
        <family val="2"/>
        <scheme val="minor"/>
      </rPr>
      <t>/</t>
    </r>
    <r>
      <rPr>
        <b/>
        <sz val="11"/>
        <color rgb="FF000000"/>
        <rFont val="Aptos Narrow"/>
        <family val="2"/>
        <scheme val="minor"/>
      </rPr>
      <t xml:space="preserve">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</si>
  <si>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FV25/225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26/06/2025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</si>
  <si>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FV25/224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26/06/2025 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</si>
  <si>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>L</t>
    </r>
    <r>
      <rPr>
        <b/>
        <sz val="11"/>
        <color theme="1"/>
        <rFont val="Aptos Narrow"/>
        <family val="2"/>
        <scheme val="minor"/>
      </rPr>
      <t>ic. Mario Augusto Fuentes Rodríguez con RFC FURM8010126S2</t>
    </r>
    <r>
      <rPr>
        <sz val="11"/>
        <color theme="1"/>
        <rFont val="Aptos Narrow"/>
        <family val="2"/>
        <scheme val="minor"/>
      </rPr>
      <t xml:space="preserve">, en mi carácter de representante legal de la empresa importadora </t>
    </r>
    <r>
      <rPr>
        <b/>
        <sz val="11"/>
        <color theme="1"/>
        <rFont val="Aptos Narrow"/>
        <family val="2"/>
        <scheme val="minor"/>
      </rPr>
      <t>SERVIACERO ESPECIALES S.A DE C.V</t>
    </r>
    <r>
      <rPr>
        <sz val="11"/>
        <color theme="1"/>
        <rFont val="Aptos Narrow"/>
        <family val="2"/>
        <scheme val="minor"/>
      </rPr>
      <t>, con</t>
    </r>
    <r>
      <rPr>
        <b/>
        <sz val="11"/>
        <color theme="1"/>
        <rFont val="Aptos Narrow"/>
        <family val="2"/>
        <scheme val="minor"/>
      </rPr>
      <t xml:space="preserve"> R.F.C. SES7402068M2</t>
    </r>
    <r>
      <rPr>
        <sz val="11"/>
        <color theme="1"/>
        <rFont val="Aptos Narrow"/>
        <family val="2"/>
        <scheme val="minor"/>
      </rPr>
      <t xml:space="preserve">, personalidad que se acredita con el Instrumento Público Número 21,191, de fecha 12 de Abril del año 2024, elaborado por el Notario Público No. 25, el Lic. Alfonso Gutierrez  Ponton , de la demarcación notarial de León Guanajuato, empresa que tiene su domicilio fiscal ubicado en </t>
    </r>
    <r>
      <rPr>
        <b/>
        <sz val="11"/>
        <color theme="1"/>
        <rFont val="Aptos Narrow"/>
        <family val="2"/>
        <scheme val="minor"/>
      </rPr>
      <t xml:space="preserve">BLVD. FRANCISCO VILLA No. 580 COL. EL PAISAJE C.P. 37480 LEON, GUANAJUATO, MEXICO, </t>
    </r>
    <r>
      <rPr>
        <sz val="11"/>
        <color theme="1"/>
        <rFont val="Aptos Narrow"/>
        <family val="2"/>
        <scheme val="minor"/>
      </rPr>
      <t xml:space="preserve">señalando como domicilio para oír y recibir notificaciones el mismo, con número telefónico </t>
    </r>
    <r>
      <rPr>
        <b/>
        <sz val="11"/>
        <color theme="1"/>
        <rFont val="Aptos Narrow"/>
        <family val="2"/>
        <scheme val="minor"/>
      </rPr>
      <t>(477) 800 27 00</t>
    </r>
    <r>
      <rPr>
        <sz val="11"/>
        <color theme="1"/>
        <rFont val="Aptos Narrow"/>
        <family val="2"/>
        <scheme val="minor"/>
      </rPr>
      <t xml:space="preserve"> y correo electrónico </t>
    </r>
    <r>
      <rPr>
        <b/>
        <sz val="11"/>
        <color theme="1"/>
        <rFont val="Aptos Narrow"/>
        <family val="2"/>
        <scheme val="minor"/>
      </rPr>
      <t>mario.fuentes@serviacero.com</t>
    </r>
    <r>
      <rPr>
        <sz val="11"/>
        <color theme="1"/>
        <rFont val="Aptos Narrow"/>
        <family val="2"/>
        <scheme val="minor"/>
      </rPr>
      <t>, autorizando para los mismos efectos en términos del artículo 18, 18-A y 19 del código fiscal de la federación a los CC. administrador, ante usted respetuosamente comparezco para exponer lo siguiente:</t>
    </r>
  </si>
  <si>
    <t xml:space="preserve">Lic. Mario Augusto Fuentes Rodriguez </t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</si>
  <si>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FV25/254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23/07/2025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</si>
  <si>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FV25/288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15/09/2025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</si>
  <si>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FV25/296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19/09/2025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</si>
</sst>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[$-F800]dddd\,\ mmmm\ dd\,\ yyyy"/>
    <numFmt numFmtId="165" formatCode="&quot;$&quot;#,##0.00"/>
    <numFmt numFmtId="166" formatCode="&quot;$&quot;#,##0.0000000000000"/>
    <numFmt numFmtId="167" formatCode="0.000"/>
    <numFmt numFmtId="168" formatCode="####&quot;.&quot;##&quot;.&quot;##"/>
    <numFmt numFmtId="169" formatCode="&quot;$&quot;#,##0"/>
    <numFmt numFmtId="170" formatCode="&quot;$&quot;#,##0.000;[Red]\-&quot;$&quot;#,##0.000"/>
    <numFmt numFmtId="171" formatCode="&quot;$&quot;#,##0.0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1"/>
      <name val="Calibri"/>
      <family val="2"/>
    </font>
    <font>
      <b/>
      <i/>
      <sz val="9"/>
      <color theme="1"/>
      <name val="Arial Narrow"/>
      <family val="2"/>
    </font>
    <font>
      <b/>
      <sz val="11"/>
      <color theme="0" tint="-4.9989318521683403E-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 applyProtection="1">
      <alignment horizontal="right"/>
      <protection locked="0"/>
    </xf>
    <xf numFmtId="165" fontId="0" fillId="0" borderId="0" xfId="0" applyNumberFormat="1"/>
    <xf numFmtId="165" fontId="2" fillId="0" borderId="0" xfId="1" applyNumberFormat="1" applyFont="1"/>
    <xf numFmtId="166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8" fontId="4" fillId="0" borderId="4" xfId="0" applyNumberFormat="1" applyFont="1" applyBorder="1" applyAlignment="1" applyProtection="1">
      <alignment horizontal="center" vertical="center"/>
      <protection locked="0"/>
    </xf>
    <xf numFmtId="165" fontId="4" fillId="0" borderId="4" xfId="0" applyNumberFormat="1" applyFont="1" applyBorder="1" applyAlignment="1">
      <alignment horizontal="center" vertical="center"/>
    </xf>
    <xf numFmtId="0" fontId="4" fillId="0" borderId="3" xfId="0" applyFont="1" applyBorder="1" applyAlignment="1" applyProtection="1">
      <alignment horizontal="center" vertical="center" wrapText="1"/>
      <protection locked="0"/>
    </xf>
    <xf numFmtId="167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8" fontId="5" fillId="0" borderId="4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2" fillId="0" borderId="0" xfId="1" applyNumberFormat="1" applyFont="1" applyBorder="1"/>
    <xf numFmtId="0" fontId="0" fillId="0" borderId="1" xfId="0" applyBorder="1"/>
    <xf numFmtId="0" fontId="3" fillId="0" borderId="1" xfId="0" applyFont="1" applyBorder="1"/>
    <xf numFmtId="0" fontId="4" fillId="0" borderId="1" xfId="0" applyFont="1" applyBorder="1" applyAlignment="1" applyProtection="1">
      <alignment horizontal="center" vertical="center"/>
      <protection locked="0"/>
    </xf>
    <xf numFmtId="8" fontId="4" fillId="0" borderId="1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167" fontId="4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8" fontId="5" fillId="0" borderId="1" xfId="0" applyNumberFormat="1" applyFont="1" applyBorder="1" applyAlignment="1">
      <alignment horizontal="center" vertical="center"/>
    </xf>
    <xf numFmtId="0" fontId="9" fillId="2" borderId="0" xfId="0" applyFont="1" applyFill="1"/>
    <xf numFmtId="49" fontId="9" fillId="2" borderId="0" xfId="0" applyNumberFormat="1" applyFont="1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7" fontId="4" fillId="0" borderId="3" xfId="0" applyNumberFormat="1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>
      <alignment horizontal="center" vertical="center"/>
    </xf>
    <xf numFmtId="167" fontId="4" fillId="0" borderId="6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8" fontId="4" fillId="0" borderId="5" xfId="0" applyNumberFormat="1" applyFont="1" applyBorder="1" applyAlignment="1" applyProtection="1">
      <alignment horizontal="center" vertical="center"/>
      <protection locked="0"/>
    </xf>
    <xf numFmtId="165" fontId="4" fillId="0" borderId="5" xfId="0" applyNumberFormat="1" applyFont="1" applyBorder="1" applyAlignment="1">
      <alignment horizontal="center" vertical="center"/>
    </xf>
    <xf numFmtId="169" fontId="4" fillId="0" borderId="4" xfId="0" applyNumberFormat="1" applyFont="1" applyBorder="1" applyAlignment="1">
      <alignment horizontal="center" vertical="center"/>
    </xf>
    <xf numFmtId="6" fontId="4" fillId="0" borderId="4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/>
    <xf numFmtId="167" fontId="4" fillId="0" borderId="7" xfId="0" applyNumberFormat="1" applyFont="1" applyBorder="1" applyAlignment="1" applyProtection="1">
      <alignment horizontal="center" vertical="center"/>
      <protection locked="0"/>
    </xf>
    <xf numFmtId="6" fontId="4" fillId="0" borderId="5" xfId="0" applyNumberFormat="1" applyFont="1" applyBorder="1" applyAlignment="1" applyProtection="1">
      <alignment horizontal="center" vertical="center"/>
      <protection locked="0"/>
    </xf>
    <xf numFmtId="6" fontId="4" fillId="0" borderId="1" xfId="0" applyNumberFormat="1" applyFont="1" applyBorder="1" applyAlignment="1" applyProtection="1">
      <alignment horizontal="center" vertical="center"/>
      <protection locked="0"/>
    </xf>
    <xf numFmtId="170" fontId="4" fillId="0" borderId="4" xfId="0" applyNumberFormat="1" applyFont="1" applyBorder="1" applyAlignment="1" applyProtection="1">
      <alignment horizontal="center" vertical="center"/>
      <protection locked="0"/>
    </xf>
    <xf numFmtId="171" fontId="4" fillId="0" borderId="4" xfId="0" applyNumberFormat="1" applyFont="1" applyBorder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8" fontId="5" fillId="0" borderId="0" xfId="0" applyNumberFormat="1" applyFont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4" fillId="0" borderId="0" xfId="0" applyFont="1"/>
    <xf numFmtId="8" fontId="6" fillId="0" borderId="4" xfId="0" applyNumberFormat="1" applyFont="1" applyBorder="1" applyAlignment="1">
      <alignment horizontal="center" vertical="center"/>
    </xf>
    <xf numFmtId="167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6" fontId="4" fillId="0" borderId="3" xfId="0" applyNumberFormat="1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6" fontId="4" fillId="0" borderId="6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13" fillId="0" borderId="0" xfId="0" applyFont="1" applyAlignment="1" applyProtection="1">
      <alignment horizontal="left" vertical="top" wrapText="1"/>
      <protection locked="0"/>
    </xf>
    <xf numFmtId="165" fontId="4" fillId="0" borderId="6" xfId="0" applyNumberFormat="1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peracaiones grupo4pl" id="{A31DDAE8-2CCE-4ADC-89B8-578B73E0F026}" userId="S::operaciones@administracionconaba4pl.onmicrosoft.com::a1ab8078-6ad1-4433-bb9d-c9f822604db2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4-02-15T17:38:37.78" personId="{A31DDAE8-2CCE-4ADC-89B8-578B73E0F026}" id="{4E12A29F-B87B-43D0-AB99-3CE80DD5A988}">
    <text xml:space="preserve">Leyenda de representante legal
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B8BE-B0DA-4D16-81E9-D39F1FF1A5EA}">
  <dimension ref="C2:H38"/>
  <sheetViews>
    <sheetView workbookViewId="0">
      <selection activeCell="H26" sqref="H26"/>
    </sheetView>
  </sheetViews>
  <sheetFormatPr baseColWidth="10" defaultColWidth="11.42578125" defaultRowHeight="15" x14ac:dyDescent="0.25"/>
  <cols>
    <col min="5" max="5" width="17.28515625" bestFit="1" customWidth="1"/>
    <col min="6" max="6" width="88.5703125" bestFit="1" customWidth="1"/>
  </cols>
  <sheetData>
    <row r="2" spans="3:8" x14ac:dyDescent="0.25">
      <c r="C2" s="37" t="s">
        <v>0</v>
      </c>
      <c r="D2" s="38" t="s">
        <v>1</v>
      </c>
      <c r="E2" s="38" t="s">
        <v>2</v>
      </c>
      <c r="F2" s="37" t="s">
        <v>3</v>
      </c>
      <c r="H2" t="s">
        <v>4</v>
      </c>
    </row>
    <row r="3" spans="3:8" x14ac:dyDescent="0.25">
      <c r="C3" s="39">
        <v>72011001</v>
      </c>
      <c r="D3" s="40" t="s">
        <v>5</v>
      </c>
      <c r="E3" s="41" t="str">
        <f t="shared" ref="E3:E38" si="0">+CONCATENATE(C3," NICO ",D3)</f>
        <v>72011001 NICO 00</v>
      </c>
      <c r="F3" t="s">
        <v>6</v>
      </c>
      <c r="H3" t="s">
        <v>7</v>
      </c>
    </row>
    <row r="4" spans="3:8" x14ac:dyDescent="0.25">
      <c r="C4" s="39">
        <v>72015002</v>
      </c>
      <c r="D4" s="40" t="s">
        <v>5</v>
      </c>
      <c r="E4" s="41" t="str">
        <f t="shared" si="0"/>
        <v>72015002 NICO 00</v>
      </c>
      <c r="F4" t="s">
        <v>8</v>
      </c>
    </row>
    <row r="5" spans="3:8" x14ac:dyDescent="0.25">
      <c r="C5" s="39">
        <v>72085104</v>
      </c>
      <c r="D5" s="40" t="s">
        <v>9</v>
      </c>
      <c r="E5" s="41" t="str">
        <f t="shared" si="0"/>
        <v>72085104 NICO 01</v>
      </c>
      <c r="F5" t="s">
        <v>10</v>
      </c>
    </row>
    <row r="6" spans="3:8" x14ac:dyDescent="0.25">
      <c r="C6" s="39">
        <v>72085201</v>
      </c>
      <c r="D6" s="40" t="s">
        <v>5</v>
      </c>
      <c r="E6" s="41" t="str">
        <f t="shared" si="0"/>
        <v>72085201 NICO 00</v>
      </c>
      <c r="F6" t="s">
        <v>10</v>
      </c>
    </row>
    <row r="7" spans="3:8" x14ac:dyDescent="0.25">
      <c r="C7" s="39">
        <v>72119099</v>
      </c>
      <c r="D7" s="40" t="s">
        <v>5</v>
      </c>
      <c r="E7" s="41" t="str">
        <f t="shared" si="0"/>
        <v>72119099 NICO 00</v>
      </c>
      <c r="F7" t="s">
        <v>11</v>
      </c>
    </row>
    <row r="8" spans="3:8" x14ac:dyDescent="0.25">
      <c r="C8" s="39">
        <v>72141001</v>
      </c>
      <c r="D8" s="40" t="s">
        <v>5</v>
      </c>
      <c r="E8" s="41" t="str">
        <f t="shared" si="0"/>
        <v>72141001 NICO 00</v>
      </c>
      <c r="F8" t="s">
        <v>12</v>
      </c>
    </row>
    <row r="9" spans="3:8" x14ac:dyDescent="0.25">
      <c r="C9" s="39">
        <v>72151001</v>
      </c>
      <c r="D9" s="40" t="s">
        <v>5</v>
      </c>
      <c r="E9" s="41" t="str">
        <f t="shared" si="0"/>
        <v>72151001 NICO 00</v>
      </c>
      <c r="F9" t="s">
        <v>13</v>
      </c>
    </row>
    <row r="10" spans="3:8" x14ac:dyDescent="0.25">
      <c r="C10" s="39">
        <v>72155091</v>
      </c>
      <c r="D10" s="40" t="s">
        <v>14</v>
      </c>
      <c r="E10" s="41" t="str">
        <f t="shared" si="0"/>
        <v>72155091 NICO 99</v>
      </c>
      <c r="F10" t="s">
        <v>15</v>
      </c>
    </row>
    <row r="11" spans="3:8" x14ac:dyDescent="0.25">
      <c r="C11" s="39">
        <v>72221102</v>
      </c>
      <c r="D11" s="40" t="s">
        <v>14</v>
      </c>
      <c r="E11" s="41" t="str">
        <f t="shared" si="0"/>
        <v>72221102 NICO 99</v>
      </c>
      <c r="F11" t="s">
        <v>16</v>
      </c>
    </row>
    <row r="12" spans="3:8" x14ac:dyDescent="0.25">
      <c r="C12" s="39">
        <v>72221999</v>
      </c>
      <c r="D12" s="40" t="s">
        <v>5</v>
      </c>
      <c r="E12" s="41" t="str">
        <f t="shared" si="0"/>
        <v>72221999 NICO 00</v>
      </c>
      <c r="F12" t="s">
        <v>16</v>
      </c>
    </row>
    <row r="13" spans="3:8" x14ac:dyDescent="0.25">
      <c r="C13" s="39">
        <v>72222001</v>
      </c>
      <c r="D13" s="40" t="s">
        <v>5</v>
      </c>
      <c r="E13" s="41" t="str">
        <f t="shared" si="0"/>
        <v>72222001 NICO 00</v>
      </c>
      <c r="F13" t="s">
        <v>17</v>
      </c>
    </row>
    <row r="14" spans="3:8" x14ac:dyDescent="0.25">
      <c r="C14" s="39">
        <v>72223091</v>
      </c>
      <c r="D14" s="40" t="s">
        <v>14</v>
      </c>
      <c r="E14" s="41" t="str">
        <f t="shared" si="0"/>
        <v>72223091 NICO 99</v>
      </c>
      <c r="F14" t="s">
        <v>18</v>
      </c>
    </row>
    <row r="15" spans="3:8" x14ac:dyDescent="0.25">
      <c r="C15" s="39">
        <v>72249099</v>
      </c>
      <c r="D15" s="40" t="s">
        <v>19</v>
      </c>
      <c r="E15" s="41" t="str">
        <f t="shared" si="0"/>
        <v>72249099 NICO 02</v>
      </c>
      <c r="F15" t="s">
        <v>20</v>
      </c>
    </row>
    <row r="16" spans="3:8" x14ac:dyDescent="0.25">
      <c r="C16" s="39">
        <v>72249099</v>
      </c>
      <c r="D16" s="40" t="s">
        <v>14</v>
      </c>
      <c r="E16" s="41" t="str">
        <f t="shared" si="0"/>
        <v>72249099 NICO 99</v>
      </c>
      <c r="F16" t="s">
        <v>21</v>
      </c>
    </row>
    <row r="17" spans="3:6" x14ac:dyDescent="0.25">
      <c r="C17" s="39">
        <v>72254091</v>
      </c>
      <c r="D17" s="40" t="s">
        <v>22</v>
      </c>
      <c r="E17" s="41" t="str">
        <f t="shared" si="0"/>
        <v>72254091 NICO 06</v>
      </c>
      <c r="F17" t="s">
        <v>23</v>
      </c>
    </row>
    <row r="18" spans="3:6" x14ac:dyDescent="0.25">
      <c r="C18" s="39">
        <v>72254091</v>
      </c>
      <c r="D18" s="42" t="s">
        <v>24</v>
      </c>
      <c r="E18" s="41" t="str">
        <f t="shared" si="0"/>
        <v>72254091 NICO 07</v>
      </c>
      <c r="F18" t="s">
        <v>25</v>
      </c>
    </row>
    <row r="19" spans="3:6" x14ac:dyDescent="0.25">
      <c r="C19" s="39">
        <v>72254091</v>
      </c>
      <c r="D19" s="40" t="s">
        <v>14</v>
      </c>
      <c r="E19" s="41" t="str">
        <f t="shared" si="0"/>
        <v>72254091 NICO 99</v>
      </c>
      <c r="F19" t="s">
        <v>26</v>
      </c>
    </row>
    <row r="20" spans="3:6" x14ac:dyDescent="0.25">
      <c r="C20" s="39">
        <v>72259999</v>
      </c>
      <c r="D20" s="40" t="s">
        <v>14</v>
      </c>
      <c r="E20" s="41" t="str">
        <f t="shared" si="0"/>
        <v>72259999 NICO 99</v>
      </c>
      <c r="F20" t="s">
        <v>12</v>
      </c>
    </row>
    <row r="21" spans="3:6" x14ac:dyDescent="0.25">
      <c r="C21" s="39">
        <v>72262001</v>
      </c>
      <c r="D21" s="42" t="s">
        <v>5</v>
      </c>
      <c r="E21" s="41" t="str">
        <f t="shared" si="0"/>
        <v>72262001 NICO 00</v>
      </c>
      <c r="F21" t="s">
        <v>27</v>
      </c>
    </row>
    <row r="22" spans="3:6" x14ac:dyDescent="0.25">
      <c r="C22" s="39">
        <v>72269107</v>
      </c>
      <c r="D22" s="40" t="s">
        <v>28</v>
      </c>
      <c r="E22" s="41" t="str">
        <f t="shared" si="0"/>
        <v>72269107 NICO 08</v>
      </c>
      <c r="F22" t="s">
        <v>29</v>
      </c>
    </row>
    <row r="23" spans="3:6" x14ac:dyDescent="0.25">
      <c r="C23" s="39">
        <v>72269107</v>
      </c>
      <c r="D23" s="40" t="s">
        <v>30</v>
      </c>
      <c r="E23" s="41" t="str">
        <f t="shared" si="0"/>
        <v>72269107 NICO 91</v>
      </c>
      <c r="F23" t="s">
        <v>26</v>
      </c>
    </row>
    <row r="24" spans="3:6" x14ac:dyDescent="0.25">
      <c r="C24" s="39">
        <v>72269999</v>
      </c>
      <c r="D24" s="40" t="s">
        <v>14</v>
      </c>
      <c r="E24" s="41" t="str">
        <f t="shared" si="0"/>
        <v>72269999 NICO 99</v>
      </c>
      <c r="F24" t="s">
        <v>12</v>
      </c>
    </row>
    <row r="25" spans="3:6" x14ac:dyDescent="0.25">
      <c r="C25" s="39">
        <v>72283001</v>
      </c>
      <c r="D25" s="40" t="s">
        <v>5</v>
      </c>
      <c r="E25" s="41" t="str">
        <f t="shared" si="0"/>
        <v>72283001 NICO 00</v>
      </c>
      <c r="F25" t="s">
        <v>31</v>
      </c>
    </row>
    <row r="26" spans="3:6" x14ac:dyDescent="0.25">
      <c r="C26" s="39">
        <v>72283001</v>
      </c>
      <c r="D26" s="40" t="s">
        <v>9</v>
      </c>
      <c r="E26" s="41" t="str">
        <f t="shared" si="0"/>
        <v>72283001 NICO 01</v>
      </c>
      <c r="F26" t="s">
        <v>12</v>
      </c>
    </row>
    <row r="27" spans="3:6" x14ac:dyDescent="0.25">
      <c r="C27" s="39">
        <v>72284091</v>
      </c>
      <c r="D27" s="40" t="s">
        <v>9</v>
      </c>
      <c r="E27" s="41" t="str">
        <f t="shared" si="0"/>
        <v>72284091 NICO 01</v>
      </c>
      <c r="F27" t="s">
        <v>32</v>
      </c>
    </row>
    <row r="28" spans="3:6" x14ac:dyDescent="0.25">
      <c r="C28" s="39">
        <v>72284091</v>
      </c>
      <c r="D28" s="40" t="s">
        <v>14</v>
      </c>
      <c r="E28" s="41" t="str">
        <f t="shared" si="0"/>
        <v>72284091 NICO 99</v>
      </c>
      <c r="F28" t="s">
        <v>33</v>
      </c>
    </row>
    <row r="29" spans="3:6" x14ac:dyDescent="0.25">
      <c r="C29" s="39">
        <v>72285091</v>
      </c>
      <c r="D29" s="40" t="s">
        <v>9</v>
      </c>
      <c r="E29" s="41" t="str">
        <f t="shared" si="0"/>
        <v>72285091 NICO 01</v>
      </c>
      <c r="F29" t="s">
        <v>34</v>
      </c>
    </row>
    <row r="30" spans="3:6" x14ac:dyDescent="0.25">
      <c r="C30" s="39">
        <v>72285091</v>
      </c>
      <c r="D30" s="40" t="s">
        <v>14</v>
      </c>
      <c r="E30" s="41" t="str">
        <f t="shared" si="0"/>
        <v>72285091 NICO 99</v>
      </c>
      <c r="F30" t="s">
        <v>35</v>
      </c>
    </row>
    <row r="31" spans="3:6" x14ac:dyDescent="0.25">
      <c r="C31" s="39">
        <v>73045112</v>
      </c>
      <c r="D31" s="40" t="s">
        <v>9</v>
      </c>
      <c r="E31" s="41" t="str">
        <f t="shared" si="0"/>
        <v>73045112 NICO 01</v>
      </c>
      <c r="F31" t="s">
        <v>36</v>
      </c>
    </row>
    <row r="32" spans="3:6" x14ac:dyDescent="0.25">
      <c r="C32" s="39">
        <v>73045112</v>
      </c>
      <c r="D32" s="40" t="s">
        <v>19</v>
      </c>
      <c r="E32" s="41" t="str">
        <f t="shared" si="0"/>
        <v>73045112 NICO 02</v>
      </c>
      <c r="F32" t="s">
        <v>36</v>
      </c>
    </row>
    <row r="33" spans="3:6" x14ac:dyDescent="0.25">
      <c r="C33" s="39">
        <v>73045999</v>
      </c>
      <c r="D33" s="40" t="s">
        <v>9</v>
      </c>
      <c r="E33" s="41" t="str">
        <f t="shared" si="0"/>
        <v>73045999 NICO 01</v>
      </c>
      <c r="F33" t="s">
        <v>37</v>
      </c>
    </row>
    <row r="34" spans="3:6" x14ac:dyDescent="0.25">
      <c r="C34" s="39">
        <v>73045999</v>
      </c>
      <c r="D34" s="40" t="s">
        <v>19</v>
      </c>
      <c r="E34" s="41" t="str">
        <f t="shared" si="0"/>
        <v>73045999 NICO 02</v>
      </c>
      <c r="F34" t="s">
        <v>37</v>
      </c>
    </row>
    <row r="35" spans="3:6" x14ac:dyDescent="0.25">
      <c r="C35" s="39">
        <v>73045999</v>
      </c>
      <c r="D35" s="40" t="s">
        <v>38</v>
      </c>
      <c r="E35" s="41" t="str">
        <f t="shared" si="0"/>
        <v>73045999 NICO 05</v>
      </c>
      <c r="F35" t="s">
        <v>12</v>
      </c>
    </row>
    <row r="36" spans="3:6" x14ac:dyDescent="0.25">
      <c r="C36" s="39">
        <v>73045999</v>
      </c>
      <c r="D36" s="40" t="s">
        <v>30</v>
      </c>
      <c r="E36" s="41" t="str">
        <f t="shared" si="0"/>
        <v>73045999 NICO 91</v>
      </c>
      <c r="F36" t="s">
        <v>37</v>
      </c>
    </row>
    <row r="37" spans="3:6" x14ac:dyDescent="0.25">
      <c r="C37" s="39">
        <v>76042999</v>
      </c>
      <c r="D37" s="40" t="s">
        <v>5</v>
      </c>
      <c r="E37" s="41" t="str">
        <f t="shared" si="0"/>
        <v>76042999 NICO 00</v>
      </c>
      <c r="F37" t="s">
        <v>39</v>
      </c>
    </row>
    <row r="38" spans="3:6" x14ac:dyDescent="0.25">
      <c r="C38" s="39">
        <v>76061299</v>
      </c>
      <c r="D38" s="40" t="s">
        <v>5</v>
      </c>
      <c r="E38" s="41" t="str">
        <f t="shared" si="0"/>
        <v>76061299 NICO 00</v>
      </c>
      <c r="F38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51222-DD6D-45C4-816D-FC31B6FEDCBB}">
  <sheetPr>
    <pageSetUpPr fitToPage="1"/>
  </sheetPr>
  <dimension ref="B2:K114"/>
  <sheetViews>
    <sheetView topLeftCell="A5" zoomScaleNormal="100" workbookViewId="0">
      <selection activeCell="B16" sqref="B16"/>
    </sheetView>
  </sheetViews>
  <sheetFormatPr baseColWidth="10" defaultColWidth="11.42578125" defaultRowHeight="15" x14ac:dyDescent="0.25"/>
  <cols>
    <col min="1" max="1" width="3.42578125" customWidth="1"/>
    <col min="2" max="2" width="34.5703125" bestFit="1" customWidth="1"/>
    <col min="4" max="4" width="15.5703125" bestFit="1" customWidth="1"/>
    <col min="5" max="5" width="13.1406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2" spans="2:10" x14ac:dyDescent="0.25">
      <c r="B2" t="s">
        <v>41</v>
      </c>
      <c r="E2" s="1" t="s">
        <v>42</v>
      </c>
      <c r="F2" s="2">
        <f ca="1">TODAY()</f>
        <v>45971</v>
      </c>
    </row>
    <row r="3" spans="2:10" x14ac:dyDescent="0.25">
      <c r="B3" s="3" t="s">
        <v>43</v>
      </c>
    </row>
    <row r="4" spans="2:10" x14ac:dyDescent="0.25">
      <c r="B4" s="4" t="s">
        <v>41</v>
      </c>
    </row>
    <row r="5" spans="2:10" ht="60" customHeight="1" x14ac:dyDescent="0.25">
      <c r="B5" s="71" t="s">
        <v>44</v>
      </c>
      <c r="C5" s="71"/>
      <c r="D5" s="71"/>
      <c r="E5" s="71"/>
      <c r="F5" s="71"/>
    </row>
    <row r="6" spans="2:10" ht="84" customHeight="1" x14ac:dyDescent="0.25">
      <c r="B6" s="71"/>
      <c r="C6" s="71"/>
      <c r="D6" s="71"/>
      <c r="E6" s="71"/>
      <c r="F6" s="71"/>
    </row>
    <row r="7" spans="2:10" s="5" customFormat="1" ht="37.5" customHeight="1" x14ac:dyDescent="0.25">
      <c r="B7" s="71" t="s">
        <v>45</v>
      </c>
      <c r="C7" s="71"/>
      <c r="D7" s="71"/>
      <c r="E7" s="71"/>
      <c r="F7" s="71"/>
    </row>
    <row r="8" spans="2:10" s="5" customFormat="1" ht="37.5" customHeight="1" x14ac:dyDescent="0.25">
      <c r="B8" s="71"/>
      <c r="C8" s="71"/>
      <c r="D8" s="71"/>
      <c r="E8" s="71"/>
      <c r="F8" s="71"/>
    </row>
    <row r="9" spans="2:10" x14ac:dyDescent="0.25">
      <c r="I9" s="72" t="s">
        <v>46</v>
      </c>
      <c r="J9" s="72"/>
    </row>
    <row r="10" spans="2:10" x14ac:dyDescent="0.25">
      <c r="B10" t="s">
        <v>47</v>
      </c>
      <c r="C10" s="6" t="s">
        <v>48</v>
      </c>
      <c r="D10" s="4" t="s">
        <v>48</v>
      </c>
      <c r="E10" s="4" t="s">
        <v>49</v>
      </c>
      <c r="F10" s="4" t="s">
        <v>50</v>
      </c>
      <c r="I10" t="s">
        <v>51</v>
      </c>
      <c r="J10" s="7">
        <f>$F$36</f>
        <v>31520.25</v>
      </c>
    </row>
    <row r="11" spans="2:10" x14ac:dyDescent="0.25">
      <c r="B11" t="s">
        <v>52</v>
      </c>
      <c r="C11" s="8">
        <f>+F36*J12</f>
        <v>55.783481043207075</v>
      </c>
      <c r="D11" s="4" t="s">
        <v>53</v>
      </c>
      <c r="I11" t="s">
        <v>54</v>
      </c>
      <c r="J11">
        <f>+C36</f>
        <v>22.925000000000001</v>
      </c>
    </row>
    <row r="12" spans="2:10" ht="15.75" thickBot="1" x14ac:dyDescent="0.3">
      <c r="D12" s="4" t="s">
        <v>55</v>
      </c>
      <c r="I12" t="s">
        <v>56</v>
      </c>
      <c r="J12" s="9">
        <v>1.7697664530962501E-3</v>
      </c>
    </row>
    <row r="13" spans="2:10" ht="15.75" thickBot="1" x14ac:dyDescent="0.3">
      <c r="B13" s="10" t="s">
        <v>57</v>
      </c>
      <c r="C13" s="11" t="s">
        <v>58</v>
      </c>
      <c r="D13" s="11" t="s">
        <v>59</v>
      </c>
      <c r="E13" s="11" t="s">
        <v>60</v>
      </c>
      <c r="F13" s="11" t="s">
        <v>61</v>
      </c>
    </row>
    <row r="14" spans="2:10" ht="15.75" thickBot="1" x14ac:dyDescent="0.3">
      <c r="B14" s="12" t="s">
        <v>15</v>
      </c>
      <c r="C14" s="13">
        <v>1.125</v>
      </c>
      <c r="D14" s="13" t="s">
        <v>55</v>
      </c>
      <c r="E14" s="14">
        <v>1620</v>
      </c>
      <c r="F14" s="15">
        <f>C14*E14</f>
        <v>1822.5</v>
      </c>
    </row>
    <row r="15" spans="2:10" ht="24.75" thickBot="1" x14ac:dyDescent="0.3">
      <c r="B15" s="16" t="s">
        <v>11</v>
      </c>
      <c r="C15" s="13">
        <v>1.0149999999999999</v>
      </c>
      <c r="D15" s="13" t="s">
        <v>55</v>
      </c>
      <c r="E15" s="14">
        <v>1680</v>
      </c>
      <c r="F15" s="15">
        <f t="shared" ref="F15:F35" si="0">C15*E15</f>
        <v>1705.1999999999998</v>
      </c>
    </row>
    <row r="16" spans="2:10" ht="24.75" thickBot="1" x14ac:dyDescent="0.3">
      <c r="B16" s="16" t="s">
        <v>11</v>
      </c>
      <c r="C16" s="17">
        <v>0.92</v>
      </c>
      <c r="D16" s="13" t="s">
        <v>55</v>
      </c>
      <c r="E16" s="14">
        <v>1850</v>
      </c>
      <c r="F16" s="15">
        <f t="shared" si="0"/>
        <v>1702</v>
      </c>
    </row>
    <row r="17" spans="2:6" ht="24.75" thickBot="1" x14ac:dyDescent="0.3">
      <c r="B17" s="16" t="s">
        <v>11</v>
      </c>
      <c r="C17" s="17">
        <v>1</v>
      </c>
      <c r="D17" s="13" t="s">
        <v>55</v>
      </c>
      <c r="E17" s="14">
        <v>1700</v>
      </c>
      <c r="F17" s="15">
        <f t="shared" si="0"/>
        <v>1700</v>
      </c>
    </row>
    <row r="18" spans="2:6" ht="15.75" thickBot="1" x14ac:dyDescent="0.3">
      <c r="B18" s="12" t="s">
        <v>15</v>
      </c>
      <c r="C18" s="17">
        <v>1</v>
      </c>
      <c r="D18" s="13" t="s">
        <v>55</v>
      </c>
      <c r="E18" s="14">
        <v>1480</v>
      </c>
      <c r="F18" s="15">
        <f t="shared" si="0"/>
        <v>1480</v>
      </c>
    </row>
    <row r="19" spans="2:6" ht="15.75" thickBot="1" x14ac:dyDescent="0.3">
      <c r="B19" s="12" t="s">
        <v>15</v>
      </c>
      <c r="C19" s="17">
        <v>0.91</v>
      </c>
      <c r="D19" s="13" t="s">
        <v>55</v>
      </c>
      <c r="E19" s="14">
        <v>1480</v>
      </c>
      <c r="F19" s="15">
        <f t="shared" si="0"/>
        <v>1346.8</v>
      </c>
    </row>
    <row r="20" spans="2:6" ht="15.75" thickBot="1" x14ac:dyDescent="0.3">
      <c r="B20" s="12" t="s">
        <v>15</v>
      </c>
      <c r="C20" s="17">
        <v>1.17</v>
      </c>
      <c r="D20" s="13" t="s">
        <v>55</v>
      </c>
      <c r="E20" s="14">
        <v>1450</v>
      </c>
      <c r="F20" s="15">
        <f t="shared" si="0"/>
        <v>1696.5</v>
      </c>
    </row>
    <row r="21" spans="2:6" ht="24.75" thickBot="1" x14ac:dyDescent="0.3">
      <c r="B21" s="16" t="s">
        <v>11</v>
      </c>
      <c r="C21" s="17">
        <v>0.97</v>
      </c>
      <c r="D21" s="13" t="s">
        <v>55</v>
      </c>
      <c r="E21" s="14">
        <v>1520</v>
      </c>
      <c r="F21" s="15">
        <f t="shared" si="0"/>
        <v>1474.3999999999999</v>
      </c>
    </row>
    <row r="22" spans="2:6" ht="15.75" thickBot="1" x14ac:dyDescent="0.3">
      <c r="B22" s="12" t="s">
        <v>15</v>
      </c>
      <c r="C22" s="17">
        <v>0.98</v>
      </c>
      <c r="D22" s="13" t="s">
        <v>55</v>
      </c>
      <c r="E22" s="14">
        <v>1400</v>
      </c>
      <c r="F22" s="15">
        <f t="shared" si="0"/>
        <v>1372</v>
      </c>
    </row>
    <row r="23" spans="2:6" ht="15.75" thickBot="1" x14ac:dyDescent="0.3">
      <c r="B23" s="12" t="s">
        <v>15</v>
      </c>
      <c r="C23" s="17">
        <v>1.1399999999999999</v>
      </c>
      <c r="D23" s="13" t="s">
        <v>55</v>
      </c>
      <c r="E23" s="14">
        <v>1280</v>
      </c>
      <c r="F23" s="15">
        <f t="shared" si="0"/>
        <v>1459.1999999999998</v>
      </c>
    </row>
    <row r="24" spans="2:6" ht="15.75" thickBot="1" x14ac:dyDescent="0.3">
      <c r="B24" s="12" t="s">
        <v>15</v>
      </c>
      <c r="C24" s="17">
        <v>1.05</v>
      </c>
      <c r="D24" s="13" t="s">
        <v>55</v>
      </c>
      <c r="E24" s="14">
        <v>1320</v>
      </c>
      <c r="F24" s="15">
        <f t="shared" si="0"/>
        <v>1386</v>
      </c>
    </row>
    <row r="25" spans="2:6" ht="15.75" thickBot="1" x14ac:dyDescent="0.3">
      <c r="B25" s="12" t="s">
        <v>15</v>
      </c>
      <c r="C25" s="13">
        <v>1.0149999999999999</v>
      </c>
      <c r="D25" s="13" t="s">
        <v>55</v>
      </c>
      <c r="E25" s="14">
        <v>1280</v>
      </c>
      <c r="F25" s="15">
        <f t="shared" si="0"/>
        <v>1299.1999999999998</v>
      </c>
    </row>
    <row r="26" spans="2:6" ht="15.75" thickBot="1" x14ac:dyDescent="0.3">
      <c r="B26" s="12" t="s">
        <v>15</v>
      </c>
      <c r="C26" s="13">
        <v>1.0349999999999999</v>
      </c>
      <c r="D26" s="13" t="s">
        <v>55</v>
      </c>
      <c r="E26" s="14">
        <v>1350</v>
      </c>
      <c r="F26" s="15">
        <f t="shared" si="0"/>
        <v>1397.25</v>
      </c>
    </row>
    <row r="27" spans="2:6" ht="24.75" thickBot="1" x14ac:dyDescent="0.3">
      <c r="B27" s="16" t="s">
        <v>11</v>
      </c>
      <c r="C27" s="13">
        <v>1.0149999999999999</v>
      </c>
      <c r="D27" s="13" t="s">
        <v>55</v>
      </c>
      <c r="E27" s="14">
        <v>1420</v>
      </c>
      <c r="F27" s="15">
        <f t="shared" si="0"/>
        <v>1441.3</v>
      </c>
    </row>
    <row r="28" spans="2:6" ht="24.75" thickBot="1" x14ac:dyDescent="0.3">
      <c r="B28" s="16" t="s">
        <v>11</v>
      </c>
      <c r="C28" s="13">
        <v>1.105</v>
      </c>
      <c r="D28" s="13" t="s">
        <v>55</v>
      </c>
      <c r="E28" s="14">
        <v>1430</v>
      </c>
      <c r="F28" s="15">
        <f t="shared" si="0"/>
        <v>1580.1499999999999</v>
      </c>
    </row>
    <row r="29" spans="2:6" ht="15.75" thickBot="1" x14ac:dyDescent="0.3">
      <c r="B29" s="12" t="s">
        <v>15</v>
      </c>
      <c r="C29" s="13">
        <v>1.0249999999999999</v>
      </c>
      <c r="D29" s="13" t="s">
        <v>55</v>
      </c>
      <c r="E29" s="14">
        <v>1210</v>
      </c>
      <c r="F29" s="15">
        <f t="shared" si="0"/>
        <v>1240.25</v>
      </c>
    </row>
    <row r="30" spans="2:6" ht="15.75" thickBot="1" x14ac:dyDescent="0.3">
      <c r="B30" s="12" t="s">
        <v>15</v>
      </c>
      <c r="C30" s="17">
        <v>1.05</v>
      </c>
      <c r="D30" s="13" t="s">
        <v>55</v>
      </c>
      <c r="E30" s="14">
        <v>1150</v>
      </c>
      <c r="F30" s="15">
        <f t="shared" si="0"/>
        <v>1207.5</v>
      </c>
    </row>
    <row r="31" spans="2:6" ht="15.75" thickBot="1" x14ac:dyDescent="0.3">
      <c r="B31" s="12" t="s">
        <v>15</v>
      </c>
      <c r="C31" s="17">
        <v>1.1599999999999999</v>
      </c>
      <c r="D31" s="13" t="s">
        <v>55</v>
      </c>
      <c r="E31" s="14">
        <v>1150</v>
      </c>
      <c r="F31" s="15">
        <f t="shared" si="0"/>
        <v>1334</v>
      </c>
    </row>
    <row r="32" spans="2:6" ht="15.75" thickBot="1" x14ac:dyDescent="0.3">
      <c r="B32" s="12" t="s">
        <v>15</v>
      </c>
      <c r="C32" s="13">
        <v>0.98499999999999999</v>
      </c>
      <c r="D32" s="13" t="s">
        <v>55</v>
      </c>
      <c r="E32" s="14">
        <v>1150</v>
      </c>
      <c r="F32" s="15">
        <f t="shared" si="0"/>
        <v>1132.75</v>
      </c>
    </row>
    <row r="33" spans="2:6" ht="15.75" thickBot="1" x14ac:dyDescent="0.3">
      <c r="B33" s="12" t="s">
        <v>15</v>
      </c>
      <c r="C33" s="13">
        <v>1.085</v>
      </c>
      <c r="D33" s="13" t="s">
        <v>55</v>
      </c>
      <c r="E33" s="14">
        <v>1150</v>
      </c>
      <c r="F33" s="15">
        <f t="shared" si="0"/>
        <v>1247.75</v>
      </c>
    </row>
    <row r="34" spans="2:6" ht="15.75" thickBot="1" x14ac:dyDescent="0.3">
      <c r="B34" s="12" t="s">
        <v>15</v>
      </c>
      <c r="C34" s="13">
        <v>1.0549999999999999</v>
      </c>
      <c r="D34" s="13" t="s">
        <v>55</v>
      </c>
      <c r="E34" s="14">
        <v>1150</v>
      </c>
      <c r="F34" s="15">
        <f t="shared" si="0"/>
        <v>1213.25</v>
      </c>
    </row>
    <row r="35" spans="2:6" ht="15.75" thickBot="1" x14ac:dyDescent="0.3">
      <c r="B35" s="12" t="s">
        <v>15</v>
      </c>
      <c r="C35" s="13">
        <v>1.115</v>
      </c>
      <c r="D35" s="13" t="s">
        <v>55</v>
      </c>
      <c r="E35" s="14">
        <v>1150</v>
      </c>
      <c r="F35" s="15">
        <f t="shared" si="0"/>
        <v>1282.25</v>
      </c>
    </row>
    <row r="36" spans="2:6" ht="15.75" thickBot="1" x14ac:dyDescent="0.3">
      <c r="B36" s="18"/>
      <c r="C36" s="19">
        <f>SUM(C14:C35)</f>
        <v>22.925000000000001</v>
      </c>
      <c r="D36" s="20"/>
      <c r="E36" s="21" t="s">
        <v>62</v>
      </c>
      <c r="F36" s="22">
        <v>31520.25</v>
      </c>
    </row>
    <row r="39" spans="2:6" x14ac:dyDescent="0.25">
      <c r="B39" s="23" t="s">
        <v>63</v>
      </c>
      <c r="C39" s="24"/>
      <c r="D39" s="24"/>
      <c r="E39" s="24"/>
    </row>
    <row r="40" spans="2:6" x14ac:dyDescent="0.25">
      <c r="B40" s="25"/>
      <c r="C40" s="24"/>
      <c r="D40" s="24"/>
      <c r="E40" s="24"/>
    </row>
    <row r="41" spans="2:6" x14ac:dyDescent="0.25">
      <c r="B41" s="26"/>
      <c r="C41" s="24"/>
      <c r="D41" s="26" t="s">
        <v>64</v>
      </c>
      <c r="E41" s="24"/>
    </row>
    <row r="42" spans="2:6" x14ac:dyDescent="0.25">
      <c r="B42" s="26"/>
      <c r="C42" s="24"/>
      <c r="D42" s="24"/>
      <c r="E42" s="24"/>
    </row>
    <row r="43" spans="2:6" x14ac:dyDescent="0.25">
      <c r="B43" s="26"/>
      <c r="C43" s="24"/>
      <c r="D43" s="26" t="s">
        <v>65</v>
      </c>
      <c r="E43" s="24"/>
    </row>
    <row r="44" spans="2:6" x14ac:dyDescent="0.25">
      <c r="B44" s="26"/>
      <c r="C44" s="24"/>
      <c r="D44" s="26" t="s">
        <v>66</v>
      </c>
      <c r="E44" s="24"/>
    </row>
    <row r="46" spans="2:6" ht="18.75" customHeight="1" x14ac:dyDescent="0.25"/>
    <row r="47" spans="2:6" x14ac:dyDescent="0.25">
      <c r="B47" t="s">
        <v>41</v>
      </c>
      <c r="E47" s="1" t="s">
        <v>42</v>
      </c>
      <c r="F47" s="2">
        <f ca="1">TODAY()</f>
        <v>45971</v>
      </c>
    </row>
    <row r="48" spans="2:6" ht="9" customHeight="1" x14ac:dyDescent="0.25">
      <c r="B48" s="3" t="s">
        <v>43</v>
      </c>
    </row>
    <row r="49" spans="2:11" hidden="1" x14ac:dyDescent="0.25">
      <c r="B49" s="4" t="s">
        <v>41</v>
      </c>
    </row>
    <row r="50" spans="2:11" x14ac:dyDescent="0.25">
      <c r="B50" s="71" t="s">
        <v>44</v>
      </c>
      <c r="C50" s="71"/>
      <c r="D50" s="71"/>
      <c r="E50" s="71"/>
      <c r="F50" s="71"/>
    </row>
    <row r="51" spans="2:11" ht="105.75" customHeight="1" x14ac:dyDescent="0.25">
      <c r="B51" s="71"/>
      <c r="C51" s="71"/>
      <c r="D51" s="71"/>
      <c r="E51" s="71"/>
      <c r="F51" s="71"/>
    </row>
    <row r="52" spans="2:11" x14ac:dyDescent="0.25">
      <c r="B52" s="71" t="s">
        <v>67</v>
      </c>
      <c r="C52" s="71"/>
      <c r="D52" s="71"/>
      <c r="E52" s="71"/>
      <c r="F52" s="71"/>
    </row>
    <row r="53" spans="2:11" ht="67.5" customHeight="1" x14ac:dyDescent="0.25">
      <c r="B53" s="71"/>
      <c r="C53" s="71"/>
      <c r="D53" s="71"/>
      <c r="E53" s="71"/>
      <c r="F53" s="71"/>
    </row>
    <row r="54" spans="2:11" x14ac:dyDescent="0.25">
      <c r="J54" s="72" t="s">
        <v>46</v>
      </c>
      <c r="K54" s="72"/>
    </row>
    <row r="55" spans="2:11" x14ac:dyDescent="0.25">
      <c r="B55" t="s">
        <v>47</v>
      </c>
      <c r="C55" s="6" t="s">
        <v>48</v>
      </c>
      <c r="D55" s="4" t="s">
        <v>48</v>
      </c>
      <c r="E55" s="4" t="s">
        <v>49</v>
      </c>
      <c r="F55" s="4" t="s">
        <v>50</v>
      </c>
      <c r="J55" t="s">
        <v>51</v>
      </c>
      <c r="K55" s="7">
        <f>+F62</f>
        <v>3938.9999999999995</v>
      </c>
    </row>
    <row r="56" spans="2:11" ht="15.75" thickBot="1" x14ac:dyDescent="0.3">
      <c r="B56" t="s">
        <v>52</v>
      </c>
      <c r="C56" s="27">
        <f>+F62*K57</f>
        <v>6.9711100587461283</v>
      </c>
      <c r="D56" s="4" t="s">
        <v>53</v>
      </c>
      <c r="J56" t="s">
        <v>54</v>
      </c>
      <c r="K56">
        <f>+C62</f>
        <v>2.875</v>
      </c>
    </row>
    <row r="57" spans="2:11" ht="15.75" thickBot="1" x14ac:dyDescent="0.3">
      <c r="B57" s="28"/>
      <c r="C57" s="28"/>
      <c r="D57" s="29" t="s">
        <v>55</v>
      </c>
      <c r="E57" s="28"/>
      <c r="F57" s="28"/>
      <c r="J57" t="s">
        <v>56</v>
      </c>
      <c r="K57" s="9">
        <v>1.7697664530962501E-3</v>
      </c>
    </row>
    <row r="58" spans="2:11" ht="15.75" thickBot="1" x14ac:dyDescent="0.3">
      <c r="B58" s="10" t="s">
        <v>57</v>
      </c>
      <c r="C58" s="10" t="s">
        <v>58</v>
      </c>
      <c r="D58" s="10" t="s">
        <v>59</v>
      </c>
      <c r="E58" s="10" t="s">
        <v>60</v>
      </c>
      <c r="F58" s="10" t="s">
        <v>61</v>
      </c>
    </row>
    <row r="59" spans="2:11" ht="15.75" thickBot="1" x14ac:dyDescent="0.3">
      <c r="B59" s="30" t="s">
        <v>15</v>
      </c>
      <c r="C59" s="30">
        <v>1.0249999999999999</v>
      </c>
      <c r="D59" s="30" t="s">
        <v>55</v>
      </c>
      <c r="E59" s="31">
        <v>1350</v>
      </c>
      <c r="F59" s="32">
        <f>C59*E59</f>
        <v>1383.7499999999998</v>
      </c>
    </row>
    <row r="60" spans="2:11" ht="15.75" thickBot="1" x14ac:dyDescent="0.3">
      <c r="B60" s="30" t="s">
        <v>15</v>
      </c>
      <c r="C60" s="30">
        <v>1.0249999999999999</v>
      </c>
      <c r="D60" s="30" t="s">
        <v>55</v>
      </c>
      <c r="E60" s="31">
        <v>1350</v>
      </c>
      <c r="F60" s="32">
        <f t="shared" ref="F60:F61" si="1">C60*E60</f>
        <v>1383.7499999999998</v>
      </c>
    </row>
    <row r="61" spans="2:11" ht="24.75" thickBot="1" x14ac:dyDescent="0.3">
      <c r="B61" s="33" t="s">
        <v>11</v>
      </c>
      <c r="C61" s="34">
        <v>0.82499999999999996</v>
      </c>
      <c r="D61" s="30" t="s">
        <v>55</v>
      </c>
      <c r="E61" s="31">
        <v>1420</v>
      </c>
      <c r="F61" s="32">
        <f t="shared" si="1"/>
        <v>1171.5</v>
      </c>
    </row>
    <row r="62" spans="2:11" ht="15.75" thickBot="1" x14ac:dyDescent="0.3">
      <c r="B62" s="10"/>
      <c r="C62" s="19">
        <f>SUM(C59:C61)</f>
        <v>2.875</v>
      </c>
      <c r="D62" s="19"/>
      <c r="E62" s="35" t="s">
        <v>62</v>
      </c>
      <c r="F62" s="36">
        <f>SUM(F59:F61)</f>
        <v>3938.9999999999995</v>
      </c>
    </row>
    <row r="65" spans="2:11" x14ac:dyDescent="0.25">
      <c r="B65" s="23" t="s">
        <v>63</v>
      </c>
      <c r="C65" s="24"/>
      <c r="D65" s="24"/>
      <c r="E65" s="24"/>
    </row>
    <row r="66" spans="2:11" x14ac:dyDescent="0.25">
      <c r="B66" s="25"/>
      <c r="C66" s="24"/>
      <c r="D66" s="24"/>
      <c r="E66" s="24"/>
    </row>
    <row r="67" spans="2:11" x14ac:dyDescent="0.25">
      <c r="B67" s="26"/>
      <c r="C67" s="24"/>
      <c r="D67" s="26" t="s">
        <v>64</v>
      </c>
      <c r="E67" s="24"/>
    </row>
    <row r="68" spans="2:11" x14ac:dyDescent="0.25">
      <c r="B68" s="26"/>
      <c r="C68" s="24"/>
      <c r="D68" s="24"/>
      <c r="E68" s="24"/>
    </row>
    <row r="69" spans="2:11" x14ac:dyDescent="0.25">
      <c r="B69" s="26"/>
      <c r="C69" s="24"/>
      <c r="D69" s="26" t="s">
        <v>65</v>
      </c>
      <c r="E69" s="24"/>
    </row>
    <row r="70" spans="2:11" x14ac:dyDescent="0.25">
      <c r="B70" s="26"/>
      <c r="C70" s="24"/>
      <c r="D70" s="26" t="s">
        <v>66</v>
      </c>
      <c r="E70" s="24"/>
    </row>
    <row r="73" spans="2:11" x14ac:dyDescent="0.25">
      <c r="B73" t="s">
        <v>41</v>
      </c>
      <c r="E73" s="1" t="s">
        <v>42</v>
      </c>
      <c r="F73" s="2">
        <f ca="1">TODAY()</f>
        <v>45971</v>
      </c>
    </row>
    <row r="74" spans="2:11" x14ac:dyDescent="0.25">
      <c r="B74" s="3" t="s">
        <v>43</v>
      </c>
    </row>
    <row r="75" spans="2:11" x14ac:dyDescent="0.25">
      <c r="B75" s="4" t="s">
        <v>41</v>
      </c>
    </row>
    <row r="76" spans="2:11" x14ac:dyDescent="0.25">
      <c r="B76" s="71" t="s">
        <v>44</v>
      </c>
      <c r="C76" s="71"/>
      <c r="D76" s="71"/>
      <c r="E76" s="71"/>
      <c r="F76" s="71"/>
    </row>
    <row r="77" spans="2:11" ht="102.75" customHeight="1" x14ac:dyDescent="0.25">
      <c r="B77" s="71"/>
      <c r="C77" s="71"/>
      <c r="D77" s="71"/>
      <c r="E77" s="71"/>
      <c r="F77" s="71"/>
    </row>
    <row r="78" spans="2:11" x14ac:dyDescent="0.25">
      <c r="B78" s="71" t="s">
        <v>68</v>
      </c>
      <c r="C78" s="71"/>
      <c r="D78" s="71"/>
      <c r="E78" s="71"/>
      <c r="F78" s="71"/>
    </row>
    <row r="79" spans="2:11" ht="69.75" customHeight="1" x14ac:dyDescent="0.25">
      <c r="B79" s="71"/>
      <c r="C79" s="71"/>
      <c r="D79" s="71"/>
      <c r="E79" s="71"/>
      <c r="F79" s="71"/>
    </row>
    <row r="80" spans="2:11" x14ac:dyDescent="0.25">
      <c r="J80" s="72" t="s">
        <v>46</v>
      </c>
      <c r="K80" s="72"/>
    </row>
    <row r="81" spans="2:11" x14ac:dyDescent="0.25">
      <c r="B81" t="s">
        <v>47</v>
      </c>
      <c r="C81" s="6" t="s">
        <v>48</v>
      </c>
      <c r="D81" s="4" t="s">
        <v>48</v>
      </c>
      <c r="E81" s="4" t="s">
        <v>49</v>
      </c>
      <c r="F81" s="4" t="s">
        <v>50</v>
      </c>
      <c r="J81" t="s">
        <v>51</v>
      </c>
      <c r="K81" s="7">
        <f>+F106</f>
        <v>26037.55</v>
      </c>
    </row>
    <row r="82" spans="2:11" x14ac:dyDescent="0.25">
      <c r="B82" t="s">
        <v>52</v>
      </c>
      <c r="C82" s="8">
        <f>+F106*K83</f>
        <v>46.080382510816264</v>
      </c>
      <c r="D82" s="4" t="s">
        <v>53</v>
      </c>
      <c r="J82" t="s">
        <v>54</v>
      </c>
      <c r="K82">
        <f>+C106</f>
        <v>21.784999999999993</v>
      </c>
    </row>
    <row r="83" spans="2:11" ht="15.75" thickBot="1" x14ac:dyDescent="0.3">
      <c r="D83" s="4" t="s">
        <v>55</v>
      </c>
      <c r="J83" t="s">
        <v>56</v>
      </c>
      <c r="K83" s="9">
        <v>1.7697664530962501E-3</v>
      </c>
    </row>
    <row r="84" spans="2:11" ht="15.75" thickBot="1" x14ac:dyDescent="0.3">
      <c r="B84" s="10" t="s">
        <v>57</v>
      </c>
      <c r="C84" s="11" t="s">
        <v>58</v>
      </c>
      <c r="D84" s="11" t="s">
        <v>59</v>
      </c>
      <c r="E84" s="11" t="s">
        <v>60</v>
      </c>
      <c r="F84" s="11" t="s">
        <v>61</v>
      </c>
    </row>
    <row r="85" spans="2:11" ht="24.75" thickBot="1" x14ac:dyDescent="0.3">
      <c r="B85" s="33" t="s">
        <v>11</v>
      </c>
      <c r="C85" s="13">
        <v>0.82499999999999996</v>
      </c>
      <c r="D85" s="13" t="s">
        <v>55</v>
      </c>
      <c r="E85" s="14">
        <v>1320</v>
      </c>
      <c r="F85" s="15">
        <f>C85*E85</f>
        <v>1089</v>
      </c>
    </row>
    <row r="86" spans="2:11" ht="24.75" thickBot="1" x14ac:dyDescent="0.3">
      <c r="B86" s="33" t="s">
        <v>11</v>
      </c>
      <c r="C86" s="13">
        <v>1.105</v>
      </c>
      <c r="D86" s="13" t="s">
        <v>55</v>
      </c>
      <c r="E86" s="14">
        <v>1320</v>
      </c>
      <c r="F86" s="15">
        <f t="shared" ref="F86:F105" si="2">C86*E86</f>
        <v>1458.6</v>
      </c>
    </row>
    <row r="87" spans="2:11" ht="15.75" thickBot="1" x14ac:dyDescent="0.3">
      <c r="B87" s="30" t="s">
        <v>15</v>
      </c>
      <c r="C87" s="17">
        <v>1.0449999999999999</v>
      </c>
      <c r="D87" s="13" t="s">
        <v>55</v>
      </c>
      <c r="E87" s="14">
        <v>1210</v>
      </c>
      <c r="F87" s="15">
        <f t="shared" si="2"/>
        <v>1264.4499999999998</v>
      </c>
    </row>
    <row r="88" spans="2:11" ht="15.75" thickBot="1" x14ac:dyDescent="0.3">
      <c r="B88" s="30" t="s">
        <v>15</v>
      </c>
      <c r="C88" s="17">
        <v>0.995</v>
      </c>
      <c r="D88" s="13" t="s">
        <v>55</v>
      </c>
      <c r="E88" s="14">
        <v>1160</v>
      </c>
      <c r="F88" s="15">
        <f t="shared" si="2"/>
        <v>1154.2</v>
      </c>
    </row>
    <row r="89" spans="2:11" ht="15.75" thickBot="1" x14ac:dyDescent="0.3">
      <c r="B89" s="30" t="s">
        <v>15</v>
      </c>
      <c r="C89" s="17">
        <v>1.02</v>
      </c>
      <c r="D89" s="13" t="s">
        <v>55</v>
      </c>
      <c r="E89" s="14">
        <v>1160</v>
      </c>
      <c r="F89" s="15">
        <f t="shared" si="2"/>
        <v>1183.2</v>
      </c>
    </row>
    <row r="90" spans="2:11" ht="15.75" thickBot="1" x14ac:dyDescent="0.3">
      <c r="B90" s="30" t="s">
        <v>15</v>
      </c>
      <c r="C90" s="17">
        <v>1.0449999999999999</v>
      </c>
      <c r="D90" s="13" t="s">
        <v>55</v>
      </c>
      <c r="E90" s="14">
        <v>1210</v>
      </c>
      <c r="F90" s="15">
        <f t="shared" si="2"/>
        <v>1264.4499999999998</v>
      </c>
    </row>
    <row r="91" spans="2:11" ht="15.75" thickBot="1" x14ac:dyDescent="0.3">
      <c r="B91" s="30" t="s">
        <v>15</v>
      </c>
      <c r="C91" s="17">
        <v>1</v>
      </c>
      <c r="D91" s="13" t="s">
        <v>55</v>
      </c>
      <c r="E91" s="14">
        <v>1210</v>
      </c>
      <c r="F91" s="15">
        <f t="shared" si="2"/>
        <v>1210</v>
      </c>
    </row>
    <row r="92" spans="2:11" ht="15.75" thickBot="1" x14ac:dyDescent="0.3">
      <c r="B92" s="30" t="s">
        <v>15</v>
      </c>
      <c r="C92" s="17">
        <v>1.0549999999999999</v>
      </c>
      <c r="D92" s="13" t="s">
        <v>55</v>
      </c>
      <c r="E92" s="14">
        <v>1150</v>
      </c>
      <c r="F92" s="15">
        <f t="shared" si="2"/>
        <v>1213.25</v>
      </c>
    </row>
    <row r="93" spans="2:11" ht="15.75" thickBot="1" x14ac:dyDescent="0.3">
      <c r="B93" s="30" t="s">
        <v>15</v>
      </c>
      <c r="C93" s="17">
        <v>1.0449999999999999</v>
      </c>
      <c r="D93" s="13" t="s">
        <v>55</v>
      </c>
      <c r="E93" s="14">
        <v>1150</v>
      </c>
      <c r="F93" s="15">
        <f t="shared" si="2"/>
        <v>1201.75</v>
      </c>
    </row>
    <row r="94" spans="2:11" ht="15.75" thickBot="1" x14ac:dyDescent="0.3">
      <c r="B94" s="30" t="s">
        <v>15</v>
      </c>
      <c r="C94" s="17">
        <v>1.105</v>
      </c>
      <c r="D94" s="13" t="s">
        <v>55</v>
      </c>
      <c r="E94" s="14">
        <v>1150</v>
      </c>
      <c r="F94" s="15">
        <f t="shared" si="2"/>
        <v>1270.75</v>
      </c>
    </row>
    <row r="95" spans="2:11" ht="15.75" thickBot="1" x14ac:dyDescent="0.3">
      <c r="B95" s="30" t="s">
        <v>15</v>
      </c>
      <c r="C95" s="17">
        <v>1.0449999999999999</v>
      </c>
      <c r="D95" s="13" t="s">
        <v>55</v>
      </c>
      <c r="E95" s="14">
        <v>1170</v>
      </c>
      <c r="F95" s="15">
        <f t="shared" si="2"/>
        <v>1222.6499999999999</v>
      </c>
    </row>
    <row r="96" spans="2:11" ht="15.75" thickBot="1" x14ac:dyDescent="0.3">
      <c r="B96" s="30" t="s">
        <v>15</v>
      </c>
      <c r="C96" s="13">
        <v>1.0049999999999999</v>
      </c>
      <c r="D96" s="13" t="s">
        <v>55</v>
      </c>
      <c r="E96" s="14">
        <v>1150</v>
      </c>
      <c r="F96" s="15">
        <f t="shared" si="2"/>
        <v>1155.7499999999998</v>
      </c>
    </row>
    <row r="97" spans="2:6" ht="15.75" thickBot="1" x14ac:dyDescent="0.3">
      <c r="B97" s="30" t="s">
        <v>15</v>
      </c>
      <c r="C97" s="17">
        <v>1.08</v>
      </c>
      <c r="D97" s="13" t="s">
        <v>55</v>
      </c>
      <c r="E97" s="14">
        <v>1150</v>
      </c>
      <c r="F97" s="15">
        <f t="shared" si="2"/>
        <v>1242</v>
      </c>
    </row>
    <row r="98" spans="2:6" ht="15.75" thickBot="1" x14ac:dyDescent="0.3">
      <c r="B98" s="30" t="s">
        <v>15</v>
      </c>
      <c r="C98" s="17">
        <v>0.96</v>
      </c>
      <c r="D98" s="13" t="s">
        <v>55</v>
      </c>
      <c r="E98" s="14">
        <v>1210</v>
      </c>
      <c r="F98" s="15">
        <f t="shared" si="2"/>
        <v>1161.5999999999999</v>
      </c>
    </row>
    <row r="99" spans="2:6" ht="15.75" thickBot="1" x14ac:dyDescent="0.3">
      <c r="B99" s="30" t="s">
        <v>15</v>
      </c>
      <c r="C99" s="13">
        <v>1.145</v>
      </c>
      <c r="D99" s="13" t="s">
        <v>55</v>
      </c>
      <c r="E99" s="14">
        <v>1140</v>
      </c>
      <c r="F99" s="15">
        <f t="shared" si="2"/>
        <v>1305.3</v>
      </c>
    </row>
    <row r="100" spans="2:6" ht="15.75" thickBot="1" x14ac:dyDescent="0.3">
      <c r="B100" s="30" t="s">
        <v>15</v>
      </c>
      <c r="C100" s="17">
        <v>1.1100000000000001</v>
      </c>
      <c r="D100" s="13" t="s">
        <v>55</v>
      </c>
      <c r="E100" s="14">
        <v>1150</v>
      </c>
      <c r="F100" s="15">
        <f t="shared" si="2"/>
        <v>1276.5</v>
      </c>
    </row>
    <row r="101" spans="2:6" ht="15.75" thickBot="1" x14ac:dyDescent="0.3">
      <c r="B101" s="30" t="s">
        <v>15</v>
      </c>
      <c r="C101" s="17">
        <v>1.115</v>
      </c>
      <c r="D101" s="13" t="s">
        <v>55</v>
      </c>
      <c r="E101" s="14">
        <v>1150</v>
      </c>
      <c r="F101" s="15">
        <f t="shared" si="2"/>
        <v>1282.25</v>
      </c>
    </row>
    <row r="102" spans="2:6" ht="15.75" thickBot="1" x14ac:dyDescent="0.3">
      <c r="B102" s="30" t="s">
        <v>15</v>
      </c>
      <c r="C102" s="17">
        <v>1.115</v>
      </c>
      <c r="D102" s="13" t="s">
        <v>55</v>
      </c>
      <c r="E102" s="14">
        <v>1150</v>
      </c>
      <c r="F102" s="15">
        <f t="shared" si="2"/>
        <v>1282.25</v>
      </c>
    </row>
    <row r="103" spans="2:6" ht="24.75" thickBot="1" x14ac:dyDescent="0.3">
      <c r="B103" s="33" t="s">
        <v>11</v>
      </c>
      <c r="C103" s="17">
        <v>0.99</v>
      </c>
      <c r="D103" s="13" t="s">
        <v>55</v>
      </c>
      <c r="E103" s="14">
        <v>1230</v>
      </c>
      <c r="F103" s="15">
        <f t="shared" si="2"/>
        <v>1217.7</v>
      </c>
    </row>
    <row r="104" spans="2:6" ht="24.75" thickBot="1" x14ac:dyDescent="0.3">
      <c r="B104" s="33" t="s">
        <v>11</v>
      </c>
      <c r="C104" s="17">
        <v>1.03</v>
      </c>
      <c r="D104" s="13" t="s">
        <v>55</v>
      </c>
      <c r="E104" s="14">
        <v>1280</v>
      </c>
      <c r="F104" s="15">
        <f t="shared" si="2"/>
        <v>1318.4</v>
      </c>
    </row>
    <row r="105" spans="2:6" ht="24.75" thickBot="1" x14ac:dyDescent="0.3">
      <c r="B105" s="33" t="s">
        <v>11</v>
      </c>
      <c r="C105" s="17">
        <v>0.95</v>
      </c>
      <c r="D105" s="13" t="s">
        <v>55</v>
      </c>
      <c r="E105" s="14">
        <v>1330</v>
      </c>
      <c r="F105" s="15">
        <f t="shared" si="2"/>
        <v>1263.5</v>
      </c>
    </row>
    <row r="106" spans="2:6" ht="15.75" thickBot="1" x14ac:dyDescent="0.3">
      <c r="B106" s="18"/>
      <c r="C106" s="19">
        <f>SUM(C85:C105)</f>
        <v>21.784999999999993</v>
      </c>
      <c r="D106" s="20"/>
      <c r="E106" s="21" t="s">
        <v>62</v>
      </c>
      <c r="F106" s="22">
        <f>SUM(F85:F105)</f>
        <v>26037.55</v>
      </c>
    </row>
    <row r="109" spans="2:6" x14ac:dyDescent="0.25">
      <c r="B109" s="23" t="s">
        <v>63</v>
      </c>
      <c r="C109" s="24"/>
      <c r="D109" s="24"/>
      <c r="E109" s="24"/>
    </row>
    <row r="110" spans="2:6" x14ac:dyDescent="0.25">
      <c r="B110" s="25"/>
      <c r="C110" s="24"/>
      <c r="D110" s="24"/>
      <c r="E110" s="24"/>
    </row>
    <row r="111" spans="2:6" x14ac:dyDescent="0.25">
      <c r="B111" s="26"/>
      <c r="C111" s="24"/>
      <c r="D111" s="26" t="s">
        <v>64</v>
      </c>
      <c r="E111" s="24"/>
    </row>
    <row r="112" spans="2:6" x14ac:dyDescent="0.25">
      <c r="B112" s="26"/>
      <c r="C112" s="24"/>
      <c r="D112" s="24"/>
      <c r="E112" s="24"/>
    </row>
    <row r="113" spans="2:5" x14ac:dyDescent="0.25">
      <c r="B113" s="26"/>
      <c r="C113" s="24"/>
      <c r="D113" s="26" t="s">
        <v>65</v>
      </c>
      <c r="E113" s="24"/>
    </row>
    <row r="114" spans="2:5" x14ac:dyDescent="0.25">
      <c r="B114" s="26"/>
      <c r="C114" s="24"/>
      <c r="D114" s="26" t="s">
        <v>66</v>
      </c>
      <c r="E114" s="24"/>
    </row>
  </sheetData>
  <protectedRanges>
    <protectedRange algorithmName="SHA-512" hashValue="poroQ6AOCp+PrXUU2E1NErYIFQH5Vb3rJFa5nEtjHcNd2xSuKk5xyHjxyYSj0ALpLP6WOSx/b1qjw/2zF/GuYQ==" saltValue="BNE7NYaoREnSby9ppJtTLw==" spinCount="100000" sqref="C11 C56 C82" name="Rango3"/>
    <protectedRange algorithmName="SHA-512" hashValue="tUGEn7omUASg2YnQUJFND+3qd4CF5BwoMj/cO/PA5wQF78Nm09A5xeFuei1S8jh1bhgAFdQbH1BhWbmB36F/gA==" saltValue="u/5i146fT7pcplAmbBqlww==" spinCount="100000" sqref="F14:F36 F59:F62 F85:F106" name="Rango2"/>
    <protectedRange algorithmName="SHA-512" hashValue="Fy74vzPqavg1HALyDiBARtZGduGibbQdzXJe+BveEjcDaIaSKVQYGdBygGaDWkJoeeVlREXXbIlDQeT5XgK+1A==" saltValue="3DEii5LrexWdXZ4VPlmQPg==" spinCount="100000" sqref="I9:J12 J54:K57 J80:K83" name="Rango1"/>
  </protectedRanges>
  <mergeCells count="9">
    <mergeCell ref="B76:F77"/>
    <mergeCell ref="B78:F79"/>
    <mergeCell ref="J80:K80"/>
    <mergeCell ref="B5:F6"/>
    <mergeCell ref="B7:F8"/>
    <mergeCell ref="I9:J9"/>
    <mergeCell ref="B50:F51"/>
    <mergeCell ref="B52:F53"/>
    <mergeCell ref="J54:K54"/>
  </mergeCells>
  <dataValidations count="2">
    <dataValidation type="list" allowBlank="1" showInputMessage="1" showErrorMessage="1" sqref="B2 B73" xr:uid="{21C4AD5B-BA0F-4516-BE8C-B485299498BB}">
      <formula1>$B$2:$B$3</formula1>
    </dataValidation>
    <dataValidation type="list" allowBlank="1" showInputMessage="1" showErrorMessage="1" sqref="C10 C81" xr:uid="{1660B64D-B6D8-4CC1-BFDA-34247C8803B9}">
      <formula1>$D$10:$F$10</formula1>
    </dataValidation>
  </dataValidations>
  <pageMargins left="1" right="1" top="1" bottom="1" header="0.5" footer="0.5"/>
  <pageSetup scale="74" orientation="portrait" r:id="rId1"/>
  <rowBreaks count="2" manualBreakCount="2">
    <brk id="44" max="16383" man="1"/>
    <brk id="72" max="5" man="1"/>
  </rowBreaks>
  <colBreaks count="2" manualBreakCount="2">
    <brk id="1" min="44" max="80" man="1"/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43C7-0D14-4647-A3C9-1EB32A8F78A4}">
  <sheetPr>
    <pageSetUpPr fitToPage="1"/>
  </sheetPr>
  <dimension ref="B6:K66"/>
  <sheetViews>
    <sheetView topLeftCell="A10" zoomScaleNormal="100" workbookViewId="0">
      <selection activeCell="B18" sqref="B18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15.5703125" bestFit="1" customWidth="1"/>
    <col min="5" max="5" width="13.1406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t="s">
        <v>41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44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4" t="s">
        <v>69</v>
      </c>
      <c r="C11" s="74"/>
      <c r="D11" s="74"/>
      <c r="E11" s="74"/>
      <c r="F11" s="74"/>
    </row>
    <row r="12" spans="2:10" s="5" customFormat="1" ht="37.5" customHeight="1" x14ac:dyDescent="0.25">
      <c r="B12" s="74"/>
      <c r="C12" s="74"/>
      <c r="D12" s="74"/>
      <c r="E12" s="74"/>
      <c r="F12" s="74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$F$26</f>
        <v>30417.7</v>
      </c>
    </row>
    <row r="15" spans="2:10" x14ac:dyDescent="0.25">
      <c r="B15" t="s">
        <v>52</v>
      </c>
      <c r="C15" s="8">
        <f>+F26*J16</f>
        <v>53.832225040345804</v>
      </c>
      <c r="D15" s="4" t="s">
        <v>53</v>
      </c>
      <c r="I15" t="s">
        <v>54</v>
      </c>
      <c r="J15">
        <f>+C26</f>
        <v>25.769999999999996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15.75" thickBot="1" x14ac:dyDescent="0.3">
      <c r="B18" s="12" t="s">
        <v>15</v>
      </c>
      <c r="C18" s="13">
        <v>1.1100000000000001</v>
      </c>
      <c r="D18" s="13" t="s">
        <v>55</v>
      </c>
      <c r="E18" s="14">
        <v>1680</v>
      </c>
      <c r="F18" s="15">
        <f>C18*E18</f>
        <v>1864.8000000000002</v>
      </c>
    </row>
    <row r="19" spans="2:6" ht="15.75" thickBot="1" x14ac:dyDescent="0.3">
      <c r="B19" s="12" t="s">
        <v>15</v>
      </c>
      <c r="C19" s="13">
        <v>6.9249999999999998</v>
      </c>
      <c r="D19" s="13" t="s">
        <v>55</v>
      </c>
      <c r="E19" s="14">
        <v>1190</v>
      </c>
      <c r="F19" s="15">
        <f t="shared" ref="F19:F25" si="0">C19*E19</f>
        <v>8240.75</v>
      </c>
    </row>
    <row r="20" spans="2:6" ht="15.75" thickBot="1" x14ac:dyDescent="0.3">
      <c r="B20" s="12" t="s">
        <v>15</v>
      </c>
      <c r="C20" s="17">
        <v>1.04</v>
      </c>
      <c r="D20" s="13" t="s">
        <v>55</v>
      </c>
      <c r="E20" s="14">
        <v>1150</v>
      </c>
      <c r="F20" s="15">
        <f t="shared" si="0"/>
        <v>1196</v>
      </c>
    </row>
    <row r="21" spans="2:6" ht="15.75" thickBot="1" x14ac:dyDescent="0.3">
      <c r="B21" s="12" t="s">
        <v>15</v>
      </c>
      <c r="C21" s="17">
        <v>1.165</v>
      </c>
      <c r="D21" s="13" t="s">
        <v>55</v>
      </c>
      <c r="E21" s="14">
        <v>1150</v>
      </c>
      <c r="F21" s="15">
        <f t="shared" si="0"/>
        <v>1339.75</v>
      </c>
    </row>
    <row r="22" spans="2:6" ht="15.75" thickBot="1" x14ac:dyDescent="0.3">
      <c r="B22" s="12" t="s">
        <v>15</v>
      </c>
      <c r="C22" s="17">
        <v>1.04</v>
      </c>
      <c r="D22" s="13" t="s">
        <v>55</v>
      </c>
      <c r="E22" s="14">
        <v>1150</v>
      </c>
      <c r="F22" s="15">
        <f t="shared" si="0"/>
        <v>1196</v>
      </c>
    </row>
    <row r="23" spans="2:6" ht="15.75" thickBot="1" x14ac:dyDescent="0.3">
      <c r="B23" s="12" t="s">
        <v>15</v>
      </c>
      <c r="C23" s="17">
        <v>1.06</v>
      </c>
      <c r="D23" s="13" t="s">
        <v>55</v>
      </c>
      <c r="E23" s="14">
        <v>1150</v>
      </c>
      <c r="F23" s="15">
        <f t="shared" si="0"/>
        <v>1219</v>
      </c>
    </row>
    <row r="24" spans="2:6" ht="15.75" thickBot="1" x14ac:dyDescent="0.3">
      <c r="B24" s="12" t="s">
        <v>15</v>
      </c>
      <c r="C24" s="17">
        <v>5.12</v>
      </c>
      <c r="D24" s="13" t="s">
        <v>55</v>
      </c>
      <c r="E24" s="14">
        <v>1150</v>
      </c>
      <c r="F24" s="15">
        <f t="shared" si="0"/>
        <v>5888</v>
      </c>
    </row>
    <row r="25" spans="2:6" ht="15.75" thickBot="1" x14ac:dyDescent="0.3">
      <c r="B25" s="12" t="s">
        <v>15</v>
      </c>
      <c r="C25" s="17">
        <v>8.31</v>
      </c>
      <c r="D25" s="13" t="s">
        <v>55</v>
      </c>
      <c r="E25" s="14">
        <v>1140</v>
      </c>
      <c r="F25" s="15">
        <f t="shared" si="0"/>
        <v>9473.4000000000015</v>
      </c>
    </row>
    <row r="26" spans="2:6" ht="15.75" thickBot="1" x14ac:dyDescent="0.3">
      <c r="B26" s="18"/>
      <c r="C26" s="19">
        <f>SUM(C18:C25)</f>
        <v>25.769999999999996</v>
      </c>
      <c r="D26" s="20"/>
      <c r="E26" s="21" t="s">
        <v>62</v>
      </c>
      <c r="F26" s="22">
        <f>SUM(F18:F25)</f>
        <v>30417.7</v>
      </c>
    </row>
    <row r="29" spans="2:6" x14ac:dyDescent="0.25">
      <c r="B29" s="23" t="s">
        <v>63</v>
      </c>
      <c r="C29" s="24"/>
      <c r="D29" s="24"/>
      <c r="E29" s="24"/>
    </row>
    <row r="30" spans="2:6" x14ac:dyDescent="0.25">
      <c r="B30" s="25"/>
      <c r="C30" s="24"/>
      <c r="D30" s="24"/>
      <c r="E30" s="24"/>
    </row>
    <row r="31" spans="2:6" x14ac:dyDescent="0.25">
      <c r="B31" s="26"/>
      <c r="C31" s="24"/>
      <c r="D31" s="26" t="s">
        <v>64</v>
      </c>
      <c r="E31" s="24"/>
    </row>
    <row r="32" spans="2:6" x14ac:dyDescent="0.25">
      <c r="B32" s="26"/>
      <c r="C32" s="24"/>
      <c r="D32" s="24"/>
      <c r="E32" s="24"/>
    </row>
    <row r="33" spans="2:11" x14ac:dyDescent="0.25">
      <c r="B33" s="26"/>
      <c r="C33" s="24"/>
      <c r="D33" s="26" t="s">
        <v>65</v>
      </c>
      <c r="E33" s="24"/>
    </row>
    <row r="34" spans="2:11" x14ac:dyDescent="0.25">
      <c r="B34" s="26"/>
      <c r="C34" s="24"/>
      <c r="D34" s="26" t="s">
        <v>66</v>
      </c>
      <c r="E34" s="24"/>
    </row>
    <row r="36" spans="2:11" ht="18.75" customHeight="1" x14ac:dyDescent="0.25"/>
    <row r="38" spans="2:11" ht="9" customHeight="1" x14ac:dyDescent="0.25"/>
    <row r="39" spans="2:11" hidden="1" x14ac:dyDescent="0.25"/>
    <row r="40" spans="2:11" x14ac:dyDescent="0.25">
      <c r="J40" s="73"/>
      <c r="K40" s="73"/>
    </row>
    <row r="62" spans="2:6" x14ac:dyDescent="0.25">
      <c r="B62" s="73"/>
      <c r="C62" s="73"/>
      <c r="D62" s="73"/>
      <c r="E62" s="73"/>
      <c r="F62" s="73"/>
    </row>
    <row r="63" spans="2:6" ht="102.75" customHeight="1" x14ac:dyDescent="0.25">
      <c r="B63" s="73"/>
      <c r="C63" s="73"/>
      <c r="D63" s="73"/>
      <c r="E63" s="73"/>
      <c r="F63" s="73"/>
    </row>
    <row r="64" spans="2:6" x14ac:dyDescent="0.25">
      <c r="B64" s="73"/>
      <c r="C64" s="73"/>
      <c r="D64" s="73"/>
      <c r="E64" s="73"/>
      <c r="F64" s="73"/>
    </row>
    <row r="65" spans="2:11" ht="69.75" customHeight="1" x14ac:dyDescent="0.25">
      <c r="B65" s="73"/>
      <c r="C65" s="73"/>
      <c r="D65" s="73"/>
      <c r="E65" s="73"/>
      <c r="F65" s="73"/>
    </row>
    <row r="66" spans="2:11" x14ac:dyDescent="0.25">
      <c r="J66" s="73"/>
      <c r="K66" s="73"/>
    </row>
  </sheetData>
  <protectedRanges>
    <protectedRange algorithmName="SHA-512" hashValue="poroQ6AOCp+PrXUU2E1NErYIFQH5Vb3rJFa5nEtjHcNd2xSuKk5xyHjxyYSj0ALpLP6WOSx/b1qjw/2zF/GuYQ==" saltValue="BNE7NYaoREnSby9ppJtTLw==" spinCount="100000" sqref="C15 C42 C68" name="Rango3"/>
    <protectedRange algorithmName="SHA-512" hashValue="tUGEn7omUASg2YnQUJFND+3qd4CF5BwoMj/cO/PA5wQF78Nm09A5xeFuei1S8jh1bhgAFdQbH1BhWbmB36F/gA==" saltValue="u/5i146fT7pcplAmbBqlww==" spinCount="100000" sqref="F45:F48 F71:F92 F18:F26" name="Rango2"/>
    <protectedRange algorithmName="SHA-512" hashValue="Fy74vzPqavg1HALyDiBARtZGduGibbQdzXJe+BveEjcDaIaSKVQYGdBygGaDWkJoeeVlREXXbIlDQeT5XgK+1A==" saltValue="3DEii5LrexWdXZ4VPlmQPg==" spinCount="100000" sqref="I13:J16 J40:K43 J66:K69" name="Rango1"/>
  </protectedRanges>
  <mergeCells count="7">
    <mergeCell ref="B62:F63"/>
    <mergeCell ref="B64:F65"/>
    <mergeCell ref="J66:K66"/>
    <mergeCell ref="B9:F10"/>
    <mergeCell ref="B11:F12"/>
    <mergeCell ref="I13:J13"/>
    <mergeCell ref="J40:K40"/>
  </mergeCells>
  <dataValidations count="2">
    <dataValidation type="list" allowBlank="1" showInputMessage="1" showErrorMessage="1" sqref="C14 C67" xr:uid="{CB66EB97-93C5-4403-A3C9-A824B5C3C5CE}">
      <formula1>$D$14:$F$14</formula1>
    </dataValidation>
    <dataValidation type="list" allowBlank="1" showInputMessage="1" showErrorMessage="1" sqref="B6 B59" xr:uid="{DBA2B843-DE32-4733-9B81-EDD8E42AD96B}">
      <formula1>$B$6:$B$7</formula1>
    </dataValidation>
  </dataValidations>
  <pageMargins left="1" right="1" top="1" bottom="1" header="0.5" footer="0.5"/>
  <pageSetup scale="75" orientation="portrait" r:id="rId1"/>
  <rowBreaks count="2" manualBreakCount="2">
    <brk id="34" max="16383" man="1"/>
    <brk id="58" max="5" man="1"/>
  </rowBreaks>
  <colBreaks count="2" manualBreakCount="2">
    <brk id="1" min="34" max="70" man="1"/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14935-8AE6-4422-AB5B-7BF45DC10A86}">
  <sheetPr>
    <pageSetUpPr fitToPage="1"/>
  </sheetPr>
  <dimension ref="B6:K78"/>
  <sheetViews>
    <sheetView topLeftCell="A9" zoomScaleNormal="100" workbookViewId="0">
      <selection activeCell="B22" sqref="B22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3.1406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70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44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4" t="s">
        <v>71</v>
      </c>
      <c r="C11" s="74"/>
      <c r="D11" s="74"/>
      <c r="E11" s="74"/>
      <c r="F11" s="74"/>
    </row>
    <row r="12" spans="2:10" s="5" customFormat="1" ht="37.5" customHeight="1" x14ac:dyDescent="0.25">
      <c r="B12" s="74"/>
      <c r="C12" s="74"/>
      <c r="D12" s="74"/>
      <c r="E12" s="74"/>
      <c r="F12" s="74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$F$38</f>
        <v>30069.55</v>
      </c>
    </row>
    <row r="15" spans="2:10" x14ac:dyDescent="0.25">
      <c r="B15" t="s">
        <v>52</v>
      </c>
      <c r="C15" s="8">
        <f>+F38*J16</f>
        <v>53.216080849700347</v>
      </c>
      <c r="D15" s="4" t="s">
        <v>53</v>
      </c>
      <c r="I15" t="s">
        <v>54</v>
      </c>
      <c r="J15">
        <f>+C38</f>
        <v>25.335000000000001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15.75" thickBot="1" x14ac:dyDescent="0.3">
      <c r="B18" s="12" t="s">
        <v>15</v>
      </c>
      <c r="C18" s="17">
        <v>2.2200000000000002</v>
      </c>
      <c r="D18" s="13" t="s">
        <v>55</v>
      </c>
      <c r="E18" s="14">
        <v>1380</v>
      </c>
      <c r="F18" s="15">
        <f>C18*E18</f>
        <v>3063.6000000000004</v>
      </c>
    </row>
    <row r="19" spans="2:6" ht="15.75" thickBot="1" x14ac:dyDescent="0.3">
      <c r="B19" s="12" t="s">
        <v>15</v>
      </c>
      <c r="C19" s="13">
        <v>1.2549999999999999</v>
      </c>
      <c r="D19" s="13" t="s">
        <v>55</v>
      </c>
      <c r="E19" s="14">
        <v>1280</v>
      </c>
      <c r="F19" s="15">
        <f t="shared" ref="F19:F37" si="0">C19*E19</f>
        <v>1606.3999999999999</v>
      </c>
    </row>
    <row r="20" spans="2:6" ht="15.75" thickBot="1" x14ac:dyDescent="0.3">
      <c r="B20" s="12" t="s">
        <v>15</v>
      </c>
      <c r="C20" s="17">
        <v>1.125</v>
      </c>
      <c r="D20" s="13" t="s">
        <v>55</v>
      </c>
      <c r="E20" s="14">
        <v>1150</v>
      </c>
      <c r="F20" s="15">
        <f t="shared" si="0"/>
        <v>1293.75</v>
      </c>
    </row>
    <row r="21" spans="2:6" ht="15.75" thickBot="1" x14ac:dyDescent="0.3">
      <c r="B21" s="12" t="s">
        <v>15</v>
      </c>
      <c r="C21" s="17">
        <v>1.105</v>
      </c>
      <c r="D21" s="13" t="s">
        <v>55</v>
      </c>
      <c r="E21" s="14">
        <v>1150</v>
      </c>
      <c r="F21" s="15">
        <f t="shared" si="0"/>
        <v>1270.75</v>
      </c>
    </row>
    <row r="22" spans="2:6" ht="24.75" thickBot="1" x14ac:dyDescent="0.3">
      <c r="B22" s="16" t="s">
        <v>11</v>
      </c>
      <c r="C22" s="17">
        <v>1.1000000000000001</v>
      </c>
      <c r="D22" s="13" t="s">
        <v>55</v>
      </c>
      <c r="E22" s="14">
        <v>1330</v>
      </c>
      <c r="F22" s="15">
        <f t="shared" si="0"/>
        <v>1463.0000000000002</v>
      </c>
    </row>
    <row r="23" spans="2:6" ht="15.75" thickBot="1" x14ac:dyDescent="0.3">
      <c r="B23" s="12" t="s">
        <v>15</v>
      </c>
      <c r="C23" s="17">
        <v>1.06</v>
      </c>
      <c r="D23" s="13" t="s">
        <v>55</v>
      </c>
      <c r="E23" s="14">
        <v>1230</v>
      </c>
      <c r="F23" s="15">
        <f t="shared" si="0"/>
        <v>1303.8</v>
      </c>
    </row>
    <row r="24" spans="2:6" ht="15.75" thickBot="1" x14ac:dyDescent="0.3">
      <c r="B24" s="12" t="s">
        <v>15</v>
      </c>
      <c r="C24" s="17">
        <v>1.085</v>
      </c>
      <c r="D24" s="13" t="s">
        <v>55</v>
      </c>
      <c r="E24" s="14">
        <v>1160</v>
      </c>
      <c r="F24" s="15">
        <f t="shared" si="0"/>
        <v>1258.5999999999999</v>
      </c>
    </row>
    <row r="25" spans="2:6" ht="15.75" thickBot="1" x14ac:dyDescent="0.3">
      <c r="B25" s="12" t="s">
        <v>15</v>
      </c>
      <c r="C25" s="17">
        <v>1.03</v>
      </c>
      <c r="D25" s="13" t="s">
        <v>55</v>
      </c>
      <c r="E25" s="14">
        <v>1150</v>
      </c>
      <c r="F25" s="15">
        <f t="shared" si="0"/>
        <v>1184.5</v>
      </c>
    </row>
    <row r="26" spans="2:6" ht="15.75" thickBot="1" x14ac:dyDescent="0.3">
      <c r="B26" s="12" t="s">
        <v>15</v>
      </c>
      <c r="C26" s="34">
        <v>0.99</v>
      </c>
      <c r="D26" s="13" t="s">
        <v>55</v>
      </c>
      <c r="E26" s="14">
        <v>1160</v>
      </c>
      <c r="F26" s="15">
        <f t="shared" si="0"/>
        <v>1148.4000000000001</v>
      </c>
    </row>
    <row r="27" spans="2:6" ht="15.75" thickBot="1" x14ac:dyDescent="0.3">
      <c r="B27" s="12" t="s">
        <v>15</v>
      </c>
      <c r="C27" s="44">
        <v>0.995</v>
      </c>
      <c r="D27" s="13" t="s">
        <v>55</v>
      </c>
      <c r="E27" s="14">
        <v>1230</v>
      </c>
      <c r="F27" s="15">
        <f t="shared" si="0"/>
        <v>1223.8499999999999</v>
      </c>
    </row>
    <row r="28" spans="2:6" ht="15.75" thickBot="1" x14ac:dyDescent="0.3">
      <c r="B28" s="12" t="s">
        <v>15</v>
      </c>
      <c r="C28" s="34">
        <v>1.04</v>
      </c>
      <c r="D28" s="30" t="s">
        <v>55</v>
      </c>
      <c r="E28" s="14">
        <v>1230</v>
      </c>
      <c r="F28" s="15">
        <f t="shared" si="0"/>
        <v>1279.2</v>
      </c>
    </row>
    <row r="29" spans="2:6" ht="15.75" thickBot="1" x14ac:dyDescent="0.3">
      <c r="B29" s="12" t="s">
        <v>15</v>
      </c>
      <c r="C29" s="34">
        <v>1</v>
      </c>
      <c r="D29" s="30" t="s">
        <v>55</v>
      </c>
      <c r="E29" s="14">
        <v>1160</v>
      </c>
      <c r="F29" s="15">
        <f t="shared" si="0"/>
        <v>1160</v>
      </c>
    </row>
    <row r="30" spans="2:6" ht="15.75" thickBot="1" x14ac:dyDescent="0.3">
      <c r="B30" s="12" t="s">
        <v>15</v>
      </c>
      <c r="C30" s="44">
        <v>0.95</v>
      </c>
      <c r="D30" s="30" t="s">
        <v>55</v>
      </c>
      <c r="E30" s="14">
        <v>1130</v>
      </c>
      <c r="F30" s="15">
        <f t="shared" si="0"/>
        <v>1073.5</v>
      </c>
    </row>
    <row r="31" spans="2:6" ht="15.75" thickBot="1" x14ac:dyDescent="0.3">
      <c r="B31" s="12" t="s">
        <v>15</v>
      </c>
      <c r="C31" s="44">
        <v>2.1</v>
      </c>
      <c r="D31" s="30" t="s">
        <v>55</v>
      </c>
      <c r="E31" s="14">
        <v>1130</v>
      </c>
      <c r="F31" s="15">
        <f t="shared" si="0"/>
        <v>2373</v>
      </c>
    </row>
    <row r="32" spans="2:6" ht="15.75" thickBot="1" x14ac:dyDescent="0.3">
      <c r="B32" s="12" t="s">
        <v>15</v>
      </c>
      <c r="C32" s="44">
        <v>0.92</v>
      </c>
      <c r="D32" s="30" t="s">
        <v>55</v>
      </c>
      <c r="E32" s="14">
        <v>1130</v>
      </c>
      <c r="F32" s="15">
        <f t="shared" si="0"/>
        <v>1039.6000000000001</v>
      </c>
    </row>
    <row r="33" spans="2:6" ht="15.75" thickBot="1" x14ac:dyDescent="0.3">
      <c r="B33" s="12" t="s">
        <v>15</v>
      </c>
      <c r="C33" s="44">
        <v>1</v>
      </c>
      <c r="D33" s="30" t="s">
        <v>55</v>
      </c>
      <c r="E33" s="14">
        <v>1130</v>
      </c>
      <c r="F33" s="15">
        <f t="shared" si="0"/>
        <v>1130</v>
      </c>
    </row>
    <row r="34" spans="2:6" ht="15.75" thickBot="1" x14ac:dyDescent="0.3">
      <c r="B34" s="12" t="s">
        <v>15</v>
      </c>
      <c r="C34" s="44">
        <v>1.08</v>
      </c>
      <c r="D34" s="30" t="s">
        <v>55</v>
      </c>
      <c r="E34" s="14">
        <v>1140</v>
      </c>
      <c r="F34" s="15">
        <f t="shared" si="0"/>
        <v>1231.2</v>
      </c>
    </row>
    <row r="35" spans="2:6" ht="15.75" thickBot="1" x14ac:dyDescent="0.3">
      <c r="B35" s="12" t="s">
        <v>15</v>
      </c>
      <c r="C35" s="44">
        <v>3.085</v>
      </c>
      <c r="D35" s="30" t="s">
        <v>55</v>
      </c>
      <c r="E35" s="14">
        <v>1130</v>
      </c>
      <c r="F35" s="15">
        <f t="shared" si="0"/>
        <v>3486.05</v>
      </c>
    </row>
    <row r="36" spans="2:6" ht="15.75" thickBot="1" x14ac:dyDescent="0.3">
      <c r="B36" s="12" t="s">
        <v>15</v>
      </c>
      <c r="C36" s="44">
        <v>1.0649999999999999</v>
      </c>
      <c r="D36" s="30" t="s">
        <v>55</v>
      </c>
      <c r="E36" s="14">
        <v>1130</v>
      </c>
      <c r="F36" s="15">
        <f t="shared" si="0"/>
        <v>1203.45</v>
      </c>
    </row>
    <row r="37" spans="2:6" ht="15.75" thickBot="1" x14ac:dyDescent="0.3">
      <c r="B37" s="12" t="s">
        <v>15</v>
      </c>
      <c r="C37" s="44">
        <v>1.1299999999999999</v>
      </c>
      <c r="D37" s="30" t="s">
        <v>55</v>
      </c>
      <c r="E37" s="14">
        <v>1130</v>
      </c>
      <c r="F37" s="15">
        <f t="shared" si="0"/>
        <v>1276.8999999999999</v>
      </c>
    </row>
    <row r="38" spans="2:6" ht="15.75" thickBot="1" x14ac:dyDescent="0.3">
      <c r="B38" s="18"/>
      <c r="C38" s="43">
        <f>SUM(C18:C37)</f>
        <v>25.335000000000001</v>
      </c>
      <c r="D38" s="20"/>
      <c r="E38" s="21" t="s">
        <v>62</v>
      </c>
      <c r="F38" s="22">
        <f>SUM(F18:F37)</f>
        <v>30069.55</v>
      </c>
    </row>
    <row r="41" spans="2:6" x14ac:dyDescent="0.25">
      <c r="B41" s="23" t="s">
        <v>63</v>
      </c>
      <c r="C41" s="24"/>
      <c r="D41" s="24"/>
      <c r="E41" s="24"/>
    </row>
    <row r="42" spans="2:6" x14ac:dyDescent="0.25">
      <c r="B42" s="25"/>
      <c r="C42" s="24"/>
      <c r="D42" s="24"/>
      <c r="E42" s="24"/>
    </row>
    <row r="43" spans="2:6" x14ac:dyDescent="0.25">
      <c r="B43" s="26"/>
      <c r="C43" s="24"/>
      <c r="D43" s="26" t="s">
        <v>64</v>
      </c>
      <c r="E43" s="24"/>
    </row>
    <row r="44" spans="2:6" x14ac:dyDescent="0.25">
      <c r="B44" s="26"/>
      <c r="C44" s="24"/>
      <c r="D44" s="24"/>
      <c r="E44" s="24"/>
    </row>
    <row r="45" spans="2:6" x14ac:dyDescent="0.25">
      <c r="B45" s="26"/>
      <c r="C45" s="24"/>
      <c r="D45" s="26" t="s">
        <v>65</v>
      </c>
      <c r="E45" s="24"/>
    </row>
    <row r="46" spans="2:6" x14ac:dyDescent="0.25">
      <c r="B46" s="26"/>
      <c r="C46" s="24"/>
      <c r="D46" s="26" t="s">
        <v>66</v>
      </c>
      <c r="E46" s="24"/>
    </row>
    <row r="48" spans="2:6" ht="18.75" customHeight="1" x14ac:dyDescent="0.25"/>
    <row r="50" spans="10:11" ht="9" customHeight="1" x14ac:dyDescent="0.25"/>
    <row r="51" spans="10:11" hidden="1" x14ac:dyDescent="0.25"/>
    <row r="52" spans="10:11" x14ac:dyDescent="0.25">
      <c r="J52" s="73"/>
      <c r="K52" s="73"/>
    </row>
    <row r="74" spans="2:11" x14ac:dyDescent="0.25">
      <c r="B74" s="73"/>
      <c r="C74" s="73"/>
      <c r="D74" s="73"/>
      <c r="E74" s="73"/>
      <c r="F74" s="73"/>
    </row>
    <row r="75" spans="2:11" ht="102.75" customHeight="1" x14ac:dyDescent="0.25">
      <c r="B75" s="73"/>
      <c r="C75" s="73"/>
      <c r="D75" s="73"/>
      <c r="E75" s="73"/>
      <c r="F75" s="73"/>
    </row>
    <row r="76" spans="2:11" x14ac:dyDescent="0.25">
      <c r="B76" s="73"/>
      <c r="C76" s="73"/>
      <c r="D76" s="73"/>
      <c r="E76" s="73"/>
      <c r="F76" s="73"/>
    </row>
    <row r="77" spans="2:11" ht="69.75" customHeight="1" x14ac:dyDescent="0.25">
      <c r="B77" s="73"/>
      <c r="C77" s="73"/>
      <c r="D77" s="73"/>
      <c r="E77" s="73"/>
      <c r="F77" s="73"/>
    </row>
    <row r="78" spans="2:11" x14ac:dyDescent="0.25">
      <c r="J78" s="73"/>
      <c r="K78" s="73"/>
    </row>
  </sheetData>
  <protectedRanges>
    <protectedRange algorithmName="SHA-512" hashValue="poroQ6AOCp+PrXUU2E1NErYIFQH5Vb3rJFa5nEtjHcNd2xSuKk5xyHjxyYSj0ALpLP6WOSx/b1qjw/2zF/GuYQ==" saltValue="BNE7NYaoREnSby9ppJtTLw==" spinCount="100000" sqref="C15 C54 C80" name="Rango3"/>
    <protectedRange algorithmName="SHA-512" hashValue="tUGEn7omUASg2YnQUJFND+3qd4CF5BwoMj/cO/PA5wQF78Nm09A5xeFuei1S8jh1bhgAFdQbH1BhWbmB36F/gA==" saltValue="u/5i146fT7pcplAmbBqlww==" spinCount="100000" sqref="F57:F60 F83:F104 F18:F38" name="Rango2"/>
    <protectedRange algorithmName="SHA-512" hashValue="Fy74vzPqavg1HALyDiBARtZGduGibbQdzXJe+BveEjcDaIaSKVQYGdBygGaDWkJoeeVlREXXbIlDQeT5XgK+1A==" saltValue="3DEii5LrexWdXZ4VPlmQPg==" spinCount="100000" sqref="I13:J16 J52:K55 J78:K81" name="Rango1"/>
  </protectedRanges>
  <mergeCells count="7">
    <mergeCell ref="J78:K78"/>
    <mergeCell ref="B9:F10"/>
    <mergeCell ref="B11:F12"/>
    <mergeCell ref="I13:J13"/>
    <mergeCell ref="J52:K52"/>
    <mergeCell ref="B74:F75"/>
    <mergeCell ref="B76:F77"/>
  </mergeCells>
  <dataValidations count="2">
    <dataValidation type="list" allowBlank="1" showInputMessage="1" showErrorMessage="1" sqref="B71" xr:uid="{C55A3DC3-0145-42DC-BED7-5A6F806D177E}">
      <formula1>$B$6:$B$7</formula1>
    </dataValidation>
    <dataValidation type="list" allowBlank="1" showInputMessage="1" showErrorMessage="1" sqref="C14 C79" xr:uid="{E8906BC4-2B35-4F1F-A247-FF6504333706}">
      <formula1>$D$14:$F$14</formula1>
    </dataValidation>
  </dataValidations>
  <pageMargins left="1" right="1" top="1" bottom="1" header="0.5" footer="0.5"/>
  <pageSetup scale="68" orientation="portrait" r:id="rId1"/>
  <rowBreaks count="2" manualBreakCount="2">
    <brk id="46" max="16383" man="1"/>
    <brk id="70" max="5" man="1"/>
  </rowBreaks>
  <colBreaks count="2" manualBreakCount="2">
    <brk id="1" min="46" max="82" man="1"/>
    <brk id="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77BB7-FEDA-421C-9734-2BC5C7AE9EA5}">
  <sheetPr>
    <pageSetUpPr fitToPage="1"/>
  </sheetPr>
  <dimension ref="B6:K70"/>
  <sheetViews>
    <sheetView topLeftCell="A7" zoomScaleNormal="100" workbookViewId="0">
      <selection activeCell="B19" sqref="B19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3.1406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70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44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4" t="s">
        <v>72</v>
      </c>
      <c r="C11" s="74"/>
      <c r="D11" s="74"/>
      <c r="E11" s="74"/>
      <c r="F11" s="74"/>
    </row>
    <row r="12" spans="2:10" s="5" customFormat="1" ht="37.5" customHeight="1" x14ac:dyDescent="0.25">
      <c r="B12" s="74"/>
      <c r="C12" s="74"/>
      <c r="D12" s="74"/>
      <c r="E12" s="74"/>
      <c r="F12" s="74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$F$30</f>
        <v>30218.949999999997</v>
      </c>
    </row>
    <row r="15" spans="2:10" x14ac:dyDescent="0.25">
      <c r="B15" t="s">
        <v>52</v>
      </c>
      <c r="C15" s="8">
        <f>+F30*J16</f>
        <v>53.48048395779292</v>
      </c>
      <c r="D15" s="4" t="s">
        <v>53</v>
      </c>
      <c r="I15" t="s">
        <v>54</v>
      </c>
      <c r="J15">
        <f>+C30</f>
        <v>25.539999999999996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24.75" thickBot="1" x14ac:dyDescent="0.3">
      <c r="B18" s="16" t="s">
        <v>11</v>
      </c>
      <c r="C18" s="17">
        <v>5.5</v>
      </c>
      <c r="D18" s="13" t="s">
        <v>55</v>
      </c>
      <c r="E18" s="14">
        <v>1320</v>
      </c>
      <c r="F18" s="15">
        <f>C18*E18</f>
        <v>7260</v>
      </c>
    </row>
    <row r="19" spans="2:6" ht="15.75" thickBot="1" x14ac:dyDescent="0.3">
      <c r="B19" s="12" t="s">
        <v>15</v>
      </c>
      <c r="C19" s="17">
        <v>1.1100000000000001</v>
      </c>
      <c r="D19" s="13" t="s">
        <v>55</v>
      </c>
      <c r="E19" s="14">
        <v>1160</v>
      </c>
      <c r="F19" s="15">
        <v>1287.5999999999999</v>
      </c>
    </row>
    <row r="20" spans="2:6" ht="15.75" thickBot="1" x14ac:dyDescent="0.3">
      <c r="B20" s="12" t="s">
        <v>15</v>
      </c>
      <c r="C20" s="17">
        <v>1.085</v>
      </c>
      <c r="D20" s="13" t="s">
        <v>55</v>
      </c>
      <c r="E20" s="14">
        <v>1160</v>
      </c>
      <c r="F20" s="15">
        <f t="shared" ref="F20:F29" si="0">C20*E20</f>
        <v>1258.5999999999999</v>
      </c>
    </row>
    <row r="21" spans="2:6" ht="15.75" thickBot="1" x14ac:dyDescent="0.3">
      <c r="B21" s="12" t="s">
        <v>15</v>
      </c>
      <c r="C21" s="17">
        <v>5.54</v>
      </c>
      <c r="D21" s="13" t="s">
        <v>55</v>
      </c>
      <c r="E21" s="14">
        <v>1140</v>
      </c>
      <c r="F21" s="15">
        <f t="shared" si="0"/>
        <v>6315.6</v>
      </c>
    </row>
    <row r="22" spans="2:6" ht="15.75" thickBot="1" x14ac:dyDescent="0.3">
      <c r="B22" s="12" t="s">
        <v>15</v>
      </c>
      <c r="C22" s="17">
        <v>0.995</v>
      </c>
      <c r="D22" s="13" t="s">
        <v>55</v>
      </c>
      <c r="E22" s="14">
        <v>1160</v>
      </c>
      <c r="F22" s="15">
        <f t="shared" si="0"/>
        <v>1154.2</v>
      </c>
    </row>
    <row r="23" spans="2:6" ht="15.75" thickBot="1" x14ac:dyDescent="0.3">
      <c r="B23" s="12" t="s">
        <v>15</v>
      </c>
      <c r="C23" s="17">
        <v>1.0249999999999999</v>
      </c>
      <c r="D23" s="13" t="s">
        <v>55</v>
      </c>
      <c r="E23" s="14">
        <v>1230</v>
      </c>
      <c r="F23" s="15">
        <f t="shared" si="0"/>
        <v>1260.75</v>
      </c>
    </row>
    <row r="24" spans="2:6" ht="15.75" thickBot="1" x14ac:dyDescent="0.3">
      <c r="B24" s="12" t="s">
        <v>15</v>
      </c>
      <c r="C24" s="17">
        <v>1</v>
      </c>
      <c r="D24" s="13" t="s">
        <v>55</v>
      </c>
      <c r="E24" s="14">
        <v>1160</v>
      </c>
      <c r="F24" s="15">
        <f t="shared" si="0"/>
        <v>1160</v>
      </c>
    </row>
    <row r="25" spans="2:6" ht="15.75" thickBot="1" x14ac:dyDescent="0.3">
      <c r="B25" s="12" t="s">
        <v>15</v>
      </c>
      <c r="C25" s="17">
        <v>0.94499999999999995</v>
      </c>
      <c r="D25" s="13" t="s">
        <v>55</v>
      </c>
      <c r="E25" s="14">
        <v>1130</v>
      </c>
      <c r="F25" s="15">
        <f t="shared" si="0"/>
        <v>1067.8499999999999</v>
      </c>
    </row>
    <row r="26" spans="2:6" ht="15.75" thickBot="1" x14ac:dyDescent="0.3">
      <c r="B26" s="12" t="s">
        <v>15</v>
      </c>
      <c r="C26" s="34">
        <v>1.0249999999999999</v>
      </c>
      <c r="D26" s="13" t="s">
        <v>55</v>
      </c>
      <c r="E26" s="14">
        <v>1130</v>
      </c>
      <c r="F26" s="15">
        <f t="shared" si="0"/>
        <v>1158.25</v>
      </c>
    </row>
    <row r="27" spans="2:6" ht="15.75" thickBot="1" x14ac:dyDescent="0.3">
      <c r="B27" s="12" t="s">
        <v>15</v>
      </c>
      <c r="C27" s="44">
        <v>1.0049999999999999</v>
      </c>
      <c r="D27" s="13" t="s">
        <v>55</v>
      </c>
      <c r="E27" s="14">
        <v>1160</v>
      </c>
      <c r="F27" s="15">
        <f t="shared" si="0"/>
        <v>1165.8</v>
      </c>
    </row>
    <row r="28" spans="2:6" ht="15.75" thickBot="1" x14ac:dyDescent="0.3">
      <c r="B28" s="12" t="s">
        <v>15</v>
      </c>
      <c r="C28" s="34">
        <v>5.2350000000000003</v>
      </c>
      <c r="D28" s="30" t="s">
        <v>55</v>
      </c>
      <c r="E28" s="14">
        <v>1130</v>
      </c>
      <c r="F28" s="15">
        <f t="shared" si="0"/>
        <v>5915.55</v>
      </c>
    </row>
    <row r="29" spans="2:6" ht="15.75" thickBot="1" x14ac:dyDescent="0.3">
      <c r="B29" s="12" t="s">
        <v>15</v>
      </c>
      <c r="C29" s="34">
        <v>1.075</v>
      </c>
      <c r="D29" s="30" t="s">
        <v>55</v>
      </c>
      <c r="E29" s="14">
        <v>1130</v>
      </c>
      <c r="F29" s="15">
        <f t="shared" si="0"/>
        <v>1214.75</v>
      </c>
    </row>
    <row r="30" spans="2:6" ht="15.75" thickBot="1" x14ac:dyDescent="0.3">
      <c r="B30" s="18"/>
      <c r="C30" s="45">
        <f>SUM(C18:C29)</f>
        <v>25.539999999999996</v>
      </c>
      <c r="D30" s="20"/>
      <c r="E30" s="21" t="s">
        <v>62</v>
      </c>
      <c r="F30" s="22">
        <f>SUM(F18:F29)</f>
        <v>30218.949999999997</v>
      </c>
    </row>
    <row r="33" spans="2:11" x14ac:dyDescent="0.25">
      <c r="B33" s="23" t="s">
        <v>63</v>
      </c>
      <c r="C33" s="24"/>
      <c r="D33" s="24"/>
      <c r="E33" s="24"/>
    </row>
    <row r="34" spans="2:11" x14ac:dyDescent="0.25">
      <c r="B34" s="25"/>
      <c r="C34" s="24"/>
      <c r="D34" s="24"/>
      <c r="E34" s="24"/>
    </row>
    <row r="35" spans="2:11" x14ac:dyDescent="0.25">
      <c r="B35" s="26"/>
      <c r="C35" s="24"/>
      <c r="D35" s="26" t="s">
        <v>64</v>
      </c>
      <c r="E35" s="24"/>
    </row>
    <row r="36" spans="2:11" x14ac:dyDescent="0.25">
      <c r="B36" s="26"/>
      <c r="C36" s="24"/>
      <c r="D36" s="24"/>
      <c r="E36" s="24"/>
    </row>
    <row r="37" spans="2:11" x14ac:dyDescent="0.25">
      <c r="B37" s="26"/>
      <c r="C37" s="24"/>
      <c r="D37" s="26" t="s">
        <v>65</v>
      </c>
      <c r="E37" s="24"/>
    </row>
    <row r="38" spans="2:11" x14ac:dyDescent="0.25">
      <c r="B38" s="26"/>
      <c r="C38" s="24"/>
      <c r="D38" s="26" t="s">
        <v>66</v>
      </c>
      <c r="E38" s="24"/>
    </row>
    <row r="40" spans="2:11" ht="18.75" customHeight="1" x14ac:dyDescent="0.25"/>
    <row r="42" spans="2:11" ht="9" customHeight="1" x14ac:dyDescent="0.25"/>
    <row r="43" spans="2:11" hidden="1" x14ac:dyDescent="0.25"/>
    <row r="44" spans="2:11" x14ac:dyDescent="0.25">
      <c r="J44" s="73"/>
      <c r="K44" s="73"/>
    </row>
    <row r="66" spans="2:11" x14ac:dyDescent="0.25">
      <c r="B66" s="73"/>
      <c r="C66" s="73"/>
      <c r="D66" s="73"/>
      <c r="E66" s="73"/>
      <c r="F66" s="73"/>
    </row>
    <row r="67" spans="2:11" ht="102.75" customHeight="1" x14ac:dyDescent="0.25">
      <c r="B67" s="73"/>
      <c r="C67" s="73"/>
      <c r="D67" s="73"/>
      <c r="E67" s="73"/>
      <c r="F67" s="73"/>
    </row>
    <row r="68" spans="2:11" x14ac:dyDescent="0.25">
      <c r="B68" s="73"/>
      <c r="C68" s="73"/>
      <c r="D68" s="73"/>
      <c r="E68" s="73"/>
      <c r="F68" s="73"/>
    </row>
    <row r="69" spans="2:11" ht="69.75" customHeight="1" x14ac:dyDescent="0.25">
      <c r="B69" s="73"/>
      <c r="C69" s="73"/>
      <c r="D69" s="73"/>
      <c r="E69" s="73"/>
      <c r="F69" s="73"/>
    </row>
    <row r="70" spans="2:11" x14ac:dyDescent="0.25">
      <c r="J70" s="73"/>
      <c r="K70" s="73"/>
    </row>
  </sheetData>
  <protectedRanges>
    <protectedRange algorithmName="SHA-512" hashValue="poroQ6AOCp+PrXUU2E1NErYIFQH5Vb3rJFa5nEtjHcNd2xSuKk5xyHjxyYSj0ALpLP6WOSx/b1qjw/2zF/GuYQ==" saltValue="BNE7NYaoREnSby9ppJtTLw==" spinCount="100000" sqref="C15 C46 C72" name="Rango3"/>
    <protectedRange algorithmName="SHA-512" hashValue="tUGEn7omUASg2YnQUJFND+3qd4CF5BwoMj/cO/PA5wQF78Nm09A5xeFuei1S8jh1bhgAFdQbH1BhWbmB36F/gA==" saltValue="u/5i146fT7pcplAmbBqlww==" spinCount="100000" sqref="F49:F52 F75:F96 F18:F30" name="Rango2"/>
    <protectedRange algorithmName="SHA-512" hashValue="Fy74vzPqavg1HALyDiBARtZGduGibbQdzXJe+BveEjcDaIaSKVQYGdBygGaDWkJoeeVlREXXbIlDQeT5XgK+1A==" saltValue="3DEii5LrexWdXZ4VPlmQPg==" spinCount="100000" sqref="I13:J16 J44:K47 J70:K73" name="Rango1"/>
  </protectedRanges>
  <mergeCells count="7">
    <mergeCell ref="J70:K70"/>
    <mergeCell ref="B9:F10"/>
    <mergeCell ref="B11:F12"/>
    <mergeCell ref="I13:J13"/>
    <mergeCell ref="J44:K44"/>
    <mergeCell ref="B66:F67"/>
    <mergeCell ref="B68:F69"/>
  </mergeCells>
  <dataValidations count="2">
    <dataValidation type="list" allowBlank="1" showInputMessage="1" showErrorMessage="1" sqref="C14 C71" xr:uid="{A6D1AE94-8D69-4376-B5F9-A9DC4843CB7B}">
      <formula1>$D$14:$F$14</formula1>
    </dataValidation>
    <dataValidation type="list" allowBlank="1" showInputMessage="1" showErrorMessage="1" sqref="B63" xr:uid="{8795D02B-F78B-4678-92D6-391C4E0C8CC4}">
      <formula1>$B$6:$B$7</formula1>
    </dataValidation>
  </dataValidations>
  <pageMargins left="1" right="1" top="1" bottom="1" header="0.5" footer="0.5"/>
  <pageSetup scale="71" orientation="portrait" r:id="rId1"/>
  <rowBreaks count="2" manualBreakCount="2">
    <brk id="38" max="16383" man="1"/>
    <brk id="62" max="5" man="1"/>
  </rowBreaks>
  <colBreaks count="2" manualBreakCount="2">
    <brk id="1" min="38" max="74" man="1"/>
    <brk id="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44331-A34B-435C-A682-0D4BBB7AEAEA}">
  <sheetPr>
    <pageSetUpPr fitToPage="1"/>
  </sheetPr>
  <dimension ref="B6:K80"/>
  <sheetViews>
    <sheetView topLeftCell="A9" zoomScaleNormal="100" workbookViewId="0">
      <selection activeCell="B30" sqref="B30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3.1406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70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44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4" t="s">
        <v>73</v>
      </c>
      <c r="C11" s="74"/>
      <c r="D11" s="74"/>
      <c r="E11" s="74"/>
      <c r="F11" s="74"/>
    </row>
    <row r="12" spans="2:10" s="5" customFormat="1" ht="37.5" customHeight="1" x14ac:dyDescent="0.25">
      <c r="B12" s="74"/>
      <c r="C12" s="74"/>
      <c r="D12" s="74"/>
      <c r="E12" s="74"/>
      <c r="F12" s="74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$F$41</f>
        <v>31186.95</v>
      </c>
    </row>
    <row r="15" spans="2:10" x14ac:dyDescent="0.25">
      <c r="B15" t="s">
        <v>52</v>
      </c>
      <c r="C15" s="8">
        <f>+F41*J16</f>
        <v>55.1936178843901</v>
      </c>
      <c r="D15" s="4" t="s">
        <v>53</v>
      </c>
      <c r="I15" t="s">
        <v>54</v>
      </c>
      <c r="J15">
        <f>+C41</f>
        <v>25.065000000000001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15.75" thickBot="1" x14ac:dyDescent="0.3">
      <c r="B18" s="12" t="s">
        <v>15</v>
      </c>
      <c r="C18" s="17">
        <v>1.0549999999999999</v>
      </c>
      <c r="D18" s="13" t="s">
        <v>55</v>
      </c>
      <c r="E18" s="14">
        <v>1450</v>
      </c>
      <c r="F18" s="15">
        <f>C18*E18</f>
        <v>1529.75</v>
      </c>
    </row>
    <row r="19" spans="2:6" ht="15.75" thickBot="1" x14ac:dyDescent="0.3">
      <c r="B19" s="12" t="s">
        <v>15</v>
      </c>
      <c r="C19" s="17">
        <v>1.1599999999999999</v>
      </c>
      <c r="D19" s="13" t="s">
        <v>55</v>
      </c>
      <c r="E19" s="14">
        <v>1450</v>
      </c>
      <c r="F19" s="15">
        <f>C19*E19</f>
        <v>1681.9999999999998</v>
      </c>
    </row>
    <row r="20" spans="2:6" ht="15.75" thickBot="1" x14ac:dyDescent="0.3">
      <c r="B20" s="12" t="s">
        <v>15</v>
      </c>
      <c r="C20" s="17">
        <v>1.105</v>
      </c>
      <c r="D20" s="13" t="s">
        <v>55</v>
      </c>
      <c r="E20" s="14">
        <v>1450</v>
      </c>
      <c r="F20" s="15">
        <f t="shared" ref="F20:F40" si="0">C20*E20</f>
        <v>1602.25</v>
      </c>
    </row>
    <row r="21" spans="2:6" ht="15.75" thickBot="1" x14ac:dyDescent="0.3">
      <c r="B21" s="12" t="s">
        <v>15</v>
      </c>
      <c r="C21" s="17">
        <v>1.0549999999999999</v>
      </c>
      <c r="D21" s="13" t="s">
        <v>55</v>
      </c>
      <c r="E21" s="14">
        <v>1280</v>
      </c>
      <c r="F21" s="15">
        <f t="shared" si="0"/>
        <v>1350.3999999999999</v>
      </c>
    </row>
    <row r="22" spans="2:6" ht="15.75" thickBot="1" x14ac:dyDescent="0.3">
      <c r="B22" s="12" t="s">
        <v>15</v>
      </c>
      <c r="C22" s="17">
        <v>1.05</v>
      </c>
      <c r="D22" s="13" t="s">
        <v>55</v>
      </c>
      <c r="E22" s="14">
        <v>1280</v>
      </c>
      <c r="F22" s="15">
        <f>C22*E22</f>
        <v>1344</v>
      </c>
    </row>
    <row r="23" spans="2:6" ht="15.75" thickBot="1" x14ac:dyDescent="0.3">
      <c r="B23" s="12" t="s">
        <v>15</v>
      </c>
      <c r="C23" s="17">
        <v>1.02</v>
      </c>
      <c r="D23" s="13" t="s">
        <v>55</v>
      </c>
      <c r="E23" s="14">
        <v>1280</v>
      </c>
      <c r="F23" s="15">
        <f>C23*E23</f>
        <v>1305.5999999999999</v>
      </c>
    </row>
    <row r="24" spans="2:6" ht="15.75" thickBot="1" x14ac:dyDescent="0.3">
      <c r="B24" s="12" t="s">
        <v>15</v>
      </c>
      <c r="C24" s="17">
        <v>1.1299999999999999</v>
      </c>
      <c r="D24" s="13" t="s">
        <v>55</v>
      </c>
      <c r="E24" s="14">
        <v>1280</v>
      </c>
      <c r="F24" s="15">
        <f t="shared" si="0"/>
        <v>1446.3999999999999</v>
      </c>
    </row>
    <row r="25" spans="2:6" ht="15.75" thickBot="1" x14ac:dyDescent="0.3">
      <c r="B25" s="12" t="s">
        <v>15</v>
      </c>
      <c r="C25" s="17">
        <v>0.94</v>
      </c>
      <c r="D25" s="13" t="s">
        <v>55</v>
      </c>
      <c r="E25" s="14">
        <v>1180</v>
      </c>
      <c r="F25" s="15">
        <f t="shared" si="0"/>
        <v>1109.2</v>
      </c>
    </row>
    <row r="26" spans="2:6" ht="15.75" thickBot="1" x14ac:dyDescent="0.3">
      <c r="B26" s="12" t="s">
        <v>15</v>
      </c>
      <c r="C26" s="34">
        <v>1.01</v>
      </c>
      <c r="D26" s="13" t="s">
        <v>55</v>
      </c>
      <c r="E26" s="14">
        <v>1210</v>
      </c>
      <c r="F26" s="15">
        <f t="shared" si="0"/>
        <v>1222.0999999999999</v>
      </c>
    </row>
    <row r="27" spans="2:6" ht="15.75" thickBot="1" x14ac:dyDescent="0.3">
      <c r="B27" s="12" t="s">
        <v>15</v>
      </c>
      <c r="C27" s="44">
        <v>1.0249999999999999</v>
      </c>
      <c r="D27" s="13" t="s">
        <v>55</v>
      </c>
      <c r="E27" s="14">
        <v>1210</v>
      </c>
      <c r="F27" s="15">
        <f t="shared" si="0"/>
        <v>1240.25</v>
      </c>
    </row>
    <row r="28" spans="2:6" ht="15.75" thickBot="1" x14ac:dyDescent="0.3">
      <c r="B28" s="12" t="s">
        <v>15</v>
      </c>
      <c r="C28" s="34">
        <v>1.06</v>
      </c>
      <c r="D28" s="30" t="s">
        <v>55</v>
      </c>
      <c r="E28" s="14">
        <v>1150</v>
      </c>
      <c r="F28" s="15">
        <f t="shared" si="0"/>
        <v>1219</v>
      </c>
    </row>
    <row r="29" spans="2:6" ht="15.75" thickBot="1" x14ac:dyDescent="0.3">
      <c r="B29" s="12" t="s">
        <v>15</v>
      </c>
      <c r="C29" s="46">
        <v>0.97499999999999998</v>
      </c>
      <c r="D29" s="47" t="s">
        <v>55</v>
      </c>
      <c r="E29" s="48">
        <v>1330</v>
      </c>
      <c r="F29" s="49">
        <f t="shared" si="0"/>
        <v>1296.75</v>
      </c>
    </row>
    <row r="30" spans="2:6" ht="15.75" thickBot="1" x14ac:dyDescent="0.3">
      <c r="B30" s="12" t="s">
        <v>15</v>
      </c>
      <c r="C30" s="34">
        <v>1.1100000000000001</v>
      </c>
      <c r="D30" s="47" t="s">
        <v>55</v>
      </c>
      <c r="E30" s="31">
        <v>1150</v>
      </c>
      <c r="F30" s="32">
        <f t="shared" si="0"/>
        <v>1276.5</v>
      </c>
    </row>
    <row r="31" spans="2:6" ht="15.75" thickBot="1" x14ac:dyDescent="0.3">
      <c r="B31" s="12" t="s">
        <v>15</v>
      </c>
      <c r="C31" s="34">
        <v>0.99</v>
      </c>
      <c r="D31" s="47" t="s">
        <v>55</v>
      </c>
      <c r="E31" s="14">
        <v>1160</v>
      </c>
      <c r="F31" s="15">
        <f t="shared" si="0"/>
        <v>1148.4000000000001</v>
      </c>
    </row>
    <row r="32" spans="2:6" ht="15.75" thickBot="1" x14ac:dyDescent="0.3">
      <c r="B32" s="12" t="s">
        <v>15</v>
      </c>
      <c r="C32" s="34">
        <v>0.95</v>
      </c>
      <c r="D32" s="47" t="s">
        <v>55</v>
      </c>
      <c r="E32" s="31">
        <v>1130</v>
      </c>
      <c r="F32" s="15">
        <f t="shared" si="0"/>
        <v>1073.5</v>
      </c>
    </row>
    <row r="33" spans="2:6" ht="15.75" thickBot="1" x14ac:dyDescent="0.3">
      <c r="B33" s="12" t="s">
        <v>15</v>
      </c>
      <c r="C33" s="34">
        <v>0.91</v>
      </c>
      <c r="D33" s="30" t="s">
        <v>55</v>
      </c>
      <c r="E33" s="14">
        <v>1130</v>
      </c>
      <c r="F33" s="15">
        <f t="shared" si="0"/>
        <v>1028.3</v>
      </c>
    </row>
    <row r="34" spans="2:6" ht="15.75" thickBot="1" x14ac:dyDescent="0.3">
      <c r="B34" s="12" t="s">
        <v>15</v>
      </c>
      <c r="C34" s="34">
        <v>1.02</v>
      </c>
      <c r="D34" s="30" t="s">
        <v>55</v>
      </c>
      <c r="E34" s="14">
        <v>1130</v>
      </c>
      <c r="F34" s="15">
        <f t="shared" si="0"/>
        <v>1152.5999999999999</v>
      </c>
    </row>
    <row r="35" spans="2:6" ht="15.75" thickBot="1" x14ac:dyDescent="0.3">
      <c r="B35" s="12" t="s">
        <v>15</v>
      </c>
      <c r="C35" s="34">
        <v>2.1</v>
      </c>
      <c r="D35" s="30" t="s">
        <v>55</v>
      </c>
      <c r="E35" s="31">
        <v>1130</v>
      </c>
      <c r="F35" s="32">
        <f t="shared" si="0"/>
        <v>2373</v>
      </c>
    </row>
    <row r="36" spans="2:6" ht="15.75" thickBot="1" x14ac:dyDescent="0.3">
      <c r="B36" s="12" t="s">
        <v>15</v>
      </c>
      <c r="C36" s="34">
        <v>1.1299999999999999</v>
      </c>
      <c r="D36" s="30" t="s">
        <v>55</v>
      </c>
      <c r="E36" s="14">
        <v>1130</v>
      </c>
      <c r="F36" s="15">
        <f t="shared" si="0"/>
        <v>1276.8999999999999</v>
      </c>
    </row>
    <row r="37" spans="2:6" ht="15.75" thickBot="1" x14ac:dyDescent="0.3">
      <c r="B37" s="12" t="s">
        <v>15</v>
      </c>
      <c r="C37" s="34">
        <v>1.03</v>
      </c>
      <c r="D37" s="30" t="s">
        <v>55</v>
      </c>
      <c r="E37" s="31">
        <v>1200</v>
      </c>
      <c r="F37" s="15">
        <f t="shared" si="0"/>
        <v>1236</v>
      </c>
    </row>
    <row r="38" spans="2:6" ht="15.75" thickBot="1" x14ac:dyDescent="0.3">
      <c r="B38" s="12" t="s">
        <v>15</v>
      </c>
      <c r="C38" s="44">
        <v>1.0349999999999999</v>
      </c>
      <c r="D38" s="30" t="s">
        <v>55</v>
      </c>
      <c r="E38" s="14">
        <v>1130</v>
      </c>
      <c r="F38" s="15">
        <f t="shared" si="0"/>
        <v>1169.55</v>
      </c>
    </row>
    <row r="39" spans="2:6" ht="24.75" thickBot="1" x14ac:dyDescent="0.3">
      <c r="B39" s="16" t="s">
        <v>11</v>
      </c>
      <c r="C39" s="44">
        <v>1.21</v>
      </c>
      <c r="D39" s="30" t="s">
        <v>55</v>
      </c>
      <c r="E39" s="14">
        <v>1250</v>
      </c>
      <c r="F39" s="15">
        <f t="shared" si="0"/>
        <v>1512.5</v>
      </c>
    </row>
    <row r="40" spans="2:6" ht="24.75" thickBot="1" x14ac:dyDescent="0.3">
      <c r="B40" s="16" t="s">
        <v>11</v>
      </c>
      <c r="C40" s="44">
        <v>0.995</v>
      </c>
      <c r="D40" s="30" t="s">
        <v>55</v>
      </c>
      <c r="E40" s="14">
        <v>1600</v>
      </c>
      <c r="F40" s="15">
        <f t="shared" si="0"/>
        <v>1592</v>
      </c>
    </row>
    <row r="41" spans="2:6" ht="15.75" thickBot="1" x14ac:dyDescent="0.3">
      <c r="B41" s="18"/>
      <c r="C41" s="45">
        <f>SUM(C18:C40)</f>
        <v>25.065000000000001</v>
      </c>
      <c r="D41" s="20"/>
      <c r="E41" s="21" t="s">
        <v>62</v>
      </c>
      <c r="F41" s="22">
        <f>SUM(F18:F40)</f>
        <v>31186.95</v>
      </c>
    </row>
    <row r="43" spans="2:6" x14ac:dyDescent="0.25">
      <c r="B43" s="23" t="s">
        <v>63</v>
      </c>
      <c r="C43" s="24"/>
      <c r="D43" s="24"/>
      <c r="E43" s="24"/>
    </row>
    <row r="44" spans="2:6" x14ac:dyDescent="0.25">
      <c r="B44" s="25"/>
      <c r="C44" s="24"/>
      <c r="D44" s="24"/>
      <c r="E44" s="24"/>
    </row>
    <row r="45" spans="2:6" x14ac:dyDescent="0.25">
      <c r="B45" s="26"/>
      <c r="C45" s="24"/>
      <c r="D45" s="26" t="s">
        <v>64</v>
      </c>
      <c r="E45" s="24"/>
    </row>
    <row r="46" spans="2:6" x14ac:dyDescent="0.25">
      <c r="B46" s="26"/>
      <c r="C46" s="24"/>
      <c r="D46" s="24"/>
      <c r="E46" s="24"/>
    </row>
    <row r="47" spans="2:6" x14ac:dyDescent="0.25">
      <c r="B47" s="26" t="s">
        <v>74</v>
      </c>
      <c r="C47" s="24"/>
      <c r="D47" s="26" t="s">
        <v>65</v>
      </c>
      <c r="E47" s="24"/>
    </row>
    <row r="48" spans="2:6" x14ac:dyDescent="0.25">
      <c r="B48" s="26"/>
      <c r="C48" s="24"/>
      <c r="D48" s="26" t="s">
        <v>66</v>
      </c>
      <c r="E48" s="24"/>
    </row>
    <row r="50" spans="10:11" ht="18.75" customHeight="1" x14ac:dyDescent="0.25"/>
    <row r="52" spans="10:11" ht="9" customHeight="1" x14ac:dyDescent="0.25"/>
    <row r="53" spans="10:11" hidden="1" x14ac:dyDescent="0.25"/>
    <row r="54" spans="10:11" x14ac:dyDescent="0.25">
      <c r="J54" s="73"/>
      <c r="K54" s="73"/>
    </row>
    <row r="76" spans="2:11" x14ac:dyDescent="0.25">
      <c r="B76" s="73"/>
      <c r="C76" s="73"/>
      <c r="D76" s="73"/>
      <c r="E76" s="73"/>
      <c r="F76" s="73"/>
    </row>
    <row r="77" spans="2:11" ht="102.75" customHeight="1" x14ac:dyDescent="0.25">
      <c r="B77" s="73"/>
      <c r="C77" s="73"/>
      <c r="D77" s="73"/>
      <c r="E77" s="73"/>
      <c r="F77" s="73"/>
    </row>
    <row r="78" spans="2:11" x14ac:dyDescent="0.25">
      <c r="B78" s="73"/>
      <c r="C78" s="73"/>
      <c r="D78" s="73"/>
      <c r="E78" s="73"/>
      <c r="F78" s="73"/>
    </row>
    <row r="79" spans="2:11" ht="69.75" customHeight="1" x14ac:dyDescent="0.25">
      <c r="B79" s="73"/>
      <c r="C79" s="73"/>
      <c r="D79" s="73"/>
      <c r="E79" s="73"/>
      <c r="F79" s="73"/>
    </row>
    <row r="80" spans="2:11" x14ac:dyDescent="0.25">
      <c r="J80" s="73"/>
      <c r="K80" s="73"/>
    </row>
  </sheetData>
  <protectedRanges>
    <protectedRange algorithmName="SHA-512" hashValue="poroQ6AOCp+PrXUU2E1NErYIFQH5Vb3rJFa5nEtjHcNd2xSuKk5xyHjxyYSj0ALpLP6WOSx/b1qjw/2zF/GuYQ==" saltValue="BNE7NYaoREnSby9ppJtTLw==" spinCount="100000" sqref="C15 C56 C82" name="Rango3"/>
    <protectedRange algorithmName="SHA-512" hashValue="tUGEn7omUASg2YnQUJFND+3qd4CF5BwoMj/cO/PA5wQF78Nm09A5xeFuei1S8jh1bhgAFdQbH1BhWbmB36F/gA==" saltValue="u/5i146fT7pcplAmbBqlww==" spinCount="100000" sqref="F59:F62 F85:F106 F41 F18:F34" name="Rango2"/>
    <protectedRange algorithmName="SHA-512" hashValue="Fy74vzPqavg1HALyDiBARtZGduGibbQdzXJe+BveEjcDaIaSKVQYGdBygGaDWkJoeeVlREXXbIlDQeT5XgK+1A==" saltValue="3DEii5LrexWdXZ4VPlmQPg==" spinCount="100000" sqref="I13:J16 J54:K57 J80:K83" name="Rango1"/>
  </protectedRanges>
  <mergeCells count="7">
    <mergeCell ref="J80:K80"/>
    <mergeCell ref="B9:F10"/>
    <mergeCell ref="B11:F12"/>
    <mergeCell ref="I13:J13"/>
    <mergeCell ref="J54:K54"/>
    <mergeCell ref="B76:F77"/>
    <mergeCell ref="B78:F79"/>
  </mergeCells>
  <dataValidations count="2">
    <dataValidation type="list" allowBlank="1" showInputMessage="1" showErrorMessage="1" sqref="B73" xr:uid="{F77990C2-3DFC-42F7-9B99-3FB1D6247B99}">
      <formula1>$B$6:$B$7</formula1>
    </dataValidation>
    <dataValidation type="list" allowBlank="1" showInputMessage="1" showErrorMessage="1" sqref="C14 C81" xr:uid="{C93D49AB-0B2A-49E4-9370-1394BE980E1D}">
      <formula1>$D$14:$F$14</formula1>
    </dataValidation>
  </dataValidations>
  <pageMargins left="1" right="1" top="1" bottom="1" header="0.5" footer="0.5"/>
  <pageSetup scale="65" orientation="portrait" r:id="rId1"/>
  <rowBreaks count="2" manualBreakCount="2">
    <brk id="48" max="16383" man="1"/>
    <brk id="72" max="5" man="1"/>
  </rowBreaks>
  <colBreaks count="2" manualBreakCount="2">
    <brk id="1" min="48" max="84" man="1"/>
    <brk id="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0F5A-6DAD-404B-9C7C-826C5C62A9AC}">
  <sheetPr>
    <pageSetUpPr fitToPage="1"/>
  </sheetPr>
  <dimension ref="B6:K66"/>
  <sheetViews>
    <sheetView topLeftCell="A9" zoomScaleNormal="100" workbookViewId="0">
      <selection activeCell="B18" sqref="B18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3.1406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70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44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4" t="s">
        <v>75</v>
      </c>
      <c r="C11" s="74"/>
      <c r="D11" s="74"/>
      <c r="E11" s="74"/>
      <c r="F11" s="74"/>
    </row>
    <row r="12" spans="2:10" s="5" customFormat="1" ht="37.5" customHeight="1" x14ac:dyDescent="0.25">
      <c r="B12" s="74"/>
      <c r="C12" s="74"/>
      <c r="D12" s="74"/>
      <c r="E12" s="74"/>
      <c r="F12" s="74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$F$27</f>
        <v>29548.100000000006</v>
      </c>
    </row>
    <row r="15" spans="2:10" x14ac:dyDescent="0.25">
      <c r="B15" t="s">
        <v>52</v>
      </c>
      <c r="C15" s="8">
        <f>+F27*J16</f>
        <v>52.29323613273332</v>
      </c>
      <c r="D15" s="4" t="s">
        <v>53</v>
      </c>
      <c r="I15" t="s">
        <v>54</v>
      </c>
      <c r="J15">
        <f>+C27</f>
        <v>25.869999999999997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24.75" thickBot="1" x14ac:dyDescent="0.3">
      <c r="B18" s="16" t="s">
        <v>11</v>
      </c>
      <c r="C18" s="17">
        <v>1.03</v>
      </c>
      <c r="D18" s="13" t="s">
        <v>55</v>
      </c>
      <c r="E18" s="14">
        <v>1280</v>
      </c>
      <c r="F18" s="15">
        <f>C18*E18</f>
        <v>1318.4</v>
      </c>
    </row>
    <row r="19" spans="2:6" ht="15.75" thickBot="1" x14ac:dyDescent="0.3">
      <c r="B19" s="12" t="s">
        <v>15</v>
      </c>
      <c r="C19" s="17">
        <v>5.51</v>
      </c>
      <c r="D19" s="13" t="s">
        <v>55</v>
      </c>
      <c r="E19" s="14">
        <v>1130</v>
      </c>
      <c r="F19" s="15">
        <f>C19*E19</f>
        <v>6226.3</v>
      </c>
    </row>
    <row r="20" spans="2:6" ht="15.75" thickBot="1" x14ac:dyDescent="0.3">
      <c r="B20" s="12" t="s">
        <v>15</v>
      </c>
      <c r="C20" s="17">
        <v>4.5750000000000002</v>
      </c>
      <c r="D20" s="13" t="s">
        <v>55</v>
      </c>
      <c r="E20" s="14">
        <v>1130</v>
      </c>
      <c r="F20" s="15">
        <f t="shared" ref="F20:F26" si="0">C20*E20</f>
        <v>5169.75</v>
      </c>
    </row>
    <row r="21" spans="2:6" ht="15.75" thickBot="1" x14ac:dyDescent="0.3">
      <c r="B21" s="12" t="s">
        <v>15</v>
      </c>
      <c r="C21" s="17">
        <v>1.94</v>
      </c>
      <c r="D21" s="13" t="s">
        <v>55</v>
      </c>
      <c r="E21" s="14">
        <v>1130</v>
      </c>
      <c r="F21" s="15">
        <f t="shared" si="0"/>
        <v>2192.1999999999998</v>
      </c>
    </row>
    <row r="22" spans="2:6" ht="15.75" thickBot="1" x14ac:dyDescent="0.3">
      <c r="B22" s="12" t="s">
        <v>15</v>
      </c>
      <c r="C22" s="17">
        <v>6.23</v>
      </c>
      <c r="D22" s="13" t="s">
        <v>55</v>
      </c>
      <c r="E22" s="14">
        <v>1130</v>
      </c>
      <c r="F22" s="15">
        <f>C22*E22</f>
        <v>7039.9000000000005</v>
      </c>
    </row>
    <row r="23" spans="2:6" ht="15.75" thickBot="1" x14ac:dyDescent="0.3">
      <c r="B23" s="12" t="s">
        <v>15</v>
      </c>
      <c r="C23" s="17">
        <v>3.29</v>
      </c>
      <c r="D23" s="13" t="s">
        <v>55</v>
      </c>
      <c r="E23" s="14">
        <v>1130</v>
      </c>
      <c r="F23" s="15">
        <f>C23*E23</f>
        <v>3717.7</v>
      </c>
    </row>
    <row r="24" spans="2:6" ht="15.75" thickBot="1" x14ac:dyDescent="0.3">
      <c r="B24" s="12" t="s">
        <v>15</v>
      </c>
      <c r="C24" s="17">
        <v>1.0649999999999999</v>
      </c>
      <c r="D24" s="13" t="s">
        <v>55</v>
      </c>
      <c r="E24" s="14">
        <v>1230</v>
      </c>
      <c r="F24" s="15">
        <f t="shared" si="0"/>
        <v>1309.95</v>
      </c>
    </row>
    <row r="25" spans="2:6" ht="15.75" thickBot="1" x14ac:dyDescent="0.3">
      <c r="B25" s="12" t="s">
        <v>15</v>
      </c>
      <c r="C25" s="17">
        <v>1.08</v>
      </c>
      <c r="D25" s="13" t="s">
        <v>55</v>
      </c>
      <c r="E25" s="14">
        <v>1180</v>
      </c>
      <c r="F25" s="15">
        <f t="shared" si="0"/>
        <v>1274.4000000000001</v>
      </c>
    </row>
    <row r="26" spans="2:6" ht="15.75" thickBot="1" x14ac:dyDescent="0.3">
      <c r="B26" s="12" t="s">
        <v>15</v>
      </c>
      <c r="C26" s="34">
        <v>1.1499999999999999</v>
      </c>
      <c r="D26" s="13" t="s">
        <v>55</v>
      </c>
      <c r="E26" s="14">
        <v>1130</v>
      </c>
      <c r="F26" s="15">
        <f t="shared" si="0"/>
        <v>1299.5</v>
      </c>
    </row>
    <row r="27" spans="2:6" ht="15.75" thickBot="1" x14ac:dyDescent="0.3">
      <c r="B27" s="18"/>
      <c r="C27" s="45">
        <f>SUM(C18:C26)</f>
        <v>25.869999999999997</v>
      </c>
      <c r="D27" s="20"/>
      <c r="E27" s="21" t="s">
        <v>62</v>
      </c>
      <c r="F27" s="22">
        <f>SUM(F18:F26)</f>
        <v>29548.100000000006</v>
      </c>
    </row>
    <row r="29" spans="2:6" x14ac:dyDescent="0.25">
      <c r="B29" s="23" t="s">
        <v>63</v>
      </c>
      <c r="C29" s="24"/>
      <c r="D29" s="24"/>
      <c r="E29" s="24"/>
    </row>
    <row r="30" spans="2:6" x14ac:dyDescent="0.25">
      <c r="B30" s="25"/>
      <c r="C30" s="24"/>
      <c r="D30" s="24"/>
      <c r="E30" s="24"/>
    </row>
    <row r="31" spans="2:6" x14ac:dyDescent="0.25">
      <c r="B31" s="26"/>
      <c r="C31" s="24"/>
      <c r="D31" s="26" t="s">
        <v>64</v>
      </c>
      <c r="E31" s="24"/>
    </row>
    <row r="32" spans="2:6" x14ac:dyDescent="0.25">
      <c r="B32" s="26"/>
      <c r="C32" s="24"/>
      <c r="D32" s="24"/>
      <c r="E32" s="24"/>
    </row>
    <row r="33" spans="2:11" x14ac:dyDescent="0.25">
      <c r="B33" s="26" t="s">
        <v>74</v>
      </c>
      <c r="C33" s="24"/>
      <c r="D33" s="26" t="s">
        <v>65</v>
      </c>
      <c r="E33" s="24"/>
    </row>
    <row r="34" spans="2:11" x14ac:dyDescent="0.25">
      <c r="B34" s="26"/>
      <c r="C34" s="24"/>
      <c r="D34" s="26" t="s">
        <v>66</v>
      </c>
      <c r="E34" s="24"/>
    </row>
    <row r="36" spans="2:11" ht="18.75" customHeight="1" x14ac:dyDescent="0.25"/>
    <row r="38" spans="2:11" ht="9" customHeight="1" x14ac:dyDescent="0.25"/>
    <row r="39" spans="2:11" hidden="1" x14ac:dyDescent="0.25"/>
    <row r="40" spans="2:11" x14ac:dyDescent="0.25">
      <c r="J40" s="73"/>
      <c r="K40" s="73"/>
    </row>
    <row r="62" spans="2:6" x14ac:dyDescent="0.25">
      <c r="B62" s="73"/>
      <c r="C62" s="73"/>
      <c r="D62" s="73"/>
      <c r="E62" s="73"/>
      <c r="F62" s="73"/>
    </row>
    <row r="63" spans="2:6" ht="102.75" customHeight="1" x14ac:dyDescent="0.25">
      <c r="B63" s="73"/>
      <c r="C63" s="73"/>
      <c r="D63" s="73"/>
      <c r="E63" s="73"/>
      <c r="F63" s="73"/>
    </row>
    <row r="64" spans="2:6" x14ac:dyDescent="0.25">
      <c r="B64" s="73"/>
      <c r="C64" s="73"/>
      <c r="D64" s="73"/>
      <c r="E64" s="73"/>
      <c r="F64" s="73"/>
    </row>
    <row r="65" spans="2:11" ht="69.75" customHeight="1" x14ac:dyDescent="0.25">
      <c r="B65" s="73"/>
      <c r="C65" s="73"/>
      <c r="D65" s="73"/>
      <c r="E65" s="73"/>
      <c r="F65" s="73"/>
    </row>
    <row r="66" spans="2:11" x14ac:dyDescent="0.25">
      <c r="J66" s="73"/>
      <c r="K66" s="73"/>
    </row>
  </sheetData>
  <protectedRanges>
    <protectedRange algorithmName="SHA-512" hashValue="poroQ6AOCp+PrXUU2E1NErYIFQH5Vb3rJFa5nEtjHcNd2xSuKk5xyHjxyYSj0ALpLP6WOSx/b1qjw/2zF/GuYQ==" saltValue="BNE7NYaoREnSby9ppJtTLw==" spinCount="100000" sqref="C15 C42 C68" name="Rango3"/>
    <protectedRange algorithmName="SHA-512" hashValue="tUGEn7omUASg2YnQUJFND+3qd4CF5BwoMj/cO/PA5wQF78Nm09A5xeFuei1S8jh1bhgAFdQbH1BhWbmB36F/gA==" saltValue="u/5i146fT7pcplAmbBqlww==" spinCount="100000" sqref="F45:F48 F71:F92 F18:F27" name="Rango2"/>
    <protectedRange algorithmName="SHA-512" hashValue="Fy74vzPqavg1HALyDiBARtZGduGibbQdzXJe+BveEjcDaIaSKVQYGdBygGaDWkJoeeVlREXXbIlDQeT5XgK+1A==" saltValue="3DEii5LrexWdXZ4VPlmQPg==" spinCount="100000" sqref="I13:J16 J40:K43 J66:K69" name="Rango1"/>
  </protectedRanges>
  <mergeCells count="7">
    <mergeCell ref="J66:K66"/>
    <mergeCell ref="B9:F10"/>
    <mergeCell ref="B11:F12"/>
    <mergeCell ref="I13:J13"/>
    <mergeCell ref="J40:K40"/>
    <mergeCell ref="B62:F63"/>
    <mergeCell ref="B64:F65"/>
  </mergeCells>
  <dataValidations count="2">
    <dataValidation type="list" allowBlank="1" showInputMessage="1" showErrorMessage="1" sqref="C14 C67" xr:uid="{33B30269-78AA-49FB-B268-DEE95DE337B1}">
      <formula1>$D$14:$F$14</formula1>
    </dataValidation>
    <dataValidation type="list" allowBlank="1" showInputMessage="1" showErrorMessage="1" sqref="B59" xr:uid="{C2D9891C-3D24-41AF-B270-F39D2B0E6AC0}">
      <formula1>$B$6:$B$7</formula1>
    </dataValidation>
  </dataValidations>
  <pageMargins left="1" right="1" top="1" bottom="1" header="0.5" footer="0.5"/>
  <pageSetup scale="71" orientation="portrait" r:id="rId1"/>
  <rowBreaks count="2" manualBreakCount="2">
    <brk id="34" max="16383" man="1"/>
    <brk id="58" max="5" man="1"/>
  </rowBreaks>
  <colBreaks count="2" manualBreakCount="2">
    <brk id="1" min="34" max="70" man="1"/>
    <brk id="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8397-7319-4055-B81D-57D655545392}">
  <sheetPr>
    <pageSetUpPr fitToPage="1"/>
  </sheetPr>
  <dimension ref="B6:K75"/>
  <sheetViews>
    <sheetView topLeftCell="A12" zoomScaleNormal="100" workbookViewId="0">
      <selection activeCell="B24" sqref="B24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70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44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4" t="s">
        <v>76</v>
      </c>
      <c r="C11" s="74"/>
      <c r="D11" s="74"/>
      <c r="E11" s="74"/>
      <c r="F11" s="74"/>
    </row>
    <row r="12" spans="2:10" s="5" customFormat="1" ht="37.5" customHeight="1" x14ac:dyDescent="0.25">
      <c r="B12" s="74"/>
      <c r="C12" s="74"/>
      <c r="D12" s="74"/>
      <c r="E12" s="74"/>
      <c r="F12" s="74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$F$36</f>
        <v>29860.400000000005</v>
      </c>
    </row>
    <row r="15" spans="2:10" x14ac:dyDescent="0.25">
      <c r="B15" t="s">
        <v>52</v>
      </c>
      <c r="C15" s="8">
        <f>+F36*J16</f>
        <v>52.845934196035273</v>
      </c>
      <c r="D15" s="52" t="s">
        <v>77</v>
      </c>
      <c r="I15" t="s">
        <v>54</v>
      </c>
      <c r="J15">
        <f>+C36</f>
        <v>24.745000000000001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24.75" thickBot="1" x14ac:dyDescent="0.3">
      <c r="B18" s="16" t="s">
        <v>11</v>
      </c>
      <c r="C18" s="17">
        <v>1.1000000000000001</v>
      </c>
      <c r="D18" s="13" t="s">
        <v>55</v>
      </c>
      <c r="E18" s="51">
        <v>1340</v>
      </c>
      <c r="F18" s="50">
        <f>C18*E18</f>
        <v>1474.0000000000002</v>
      </c>
    </row>
    <row r="19" spans="2:6" ht="15.75" thickBot="1" x14ac:dyDescent="0.3">
      <c r="B19" s="12" t="s">
        <v>15</v>
      </c>
      <c r="C19" s="17">
        <v>2</v>
      </c>
      <c r="D19" s="13" t="s">
        <v>55</v>
      </c>
      <c r="E19" s="51">
        <v>1200</v>
      </c>
      <c r="F19" s="50">
        <f>C19*E19</f>
        <v>2400</v>
      </c>
    </row>
    <row r="20" spans="2:6" ht="15.75" thickBot="1" x14ac:dyDescent="0.3">
      <c r="B20" s="12" t="s">
        <v>15</v>
      </c>
      <c r="C20" s="17">
        <v>1</v>
      </c>
      <c r="D20" s="13" t="s">
        <v>55</v>
      </c>
      <c r="E20" s="51">
        <v>1230</v>
      </c>
      <c r="F20" s="50">
        <f t="shared" ref="F20:F35" si="0">C20*E20</f>
        <v>1230</v>
      </c>
    </row>
    <row r="21" spans="2:6" ht="15.75" thickBot="1" x14ac:dyDescent="0.3">
      <c r="B21" s="12" t="s">
        <v>15</v>
      </c>
      <c r="C21" s="17">
        <v>2.04</v>
      </c>
      <c r="D21" s="13" t="s">
        <v>55</v>
      </c>
      <c r="E21" s="51">
        <v>1150</v>
      </c>
      <c r="F21" s="50">
        <f t="shared" si="0"/>
        <v>2346</v>
      </c>
    </row>
    <row r="22" spans="2:6" ht="15.75" thickBot="1" x14ac:dyDescent="0.3">
      <c r="B22" s="12" t="s">
        <v>15</v>
      </c>
      <c r="C22" s="17">
        <v>1.0349999999999999</v>
      </c>
      <c r="D22" s="13" t="s">
        <v>55</v>
      </c>
      <c r="E22" s="51">
        <v>1200</v>
      </c>
      <c r="F22" s="50">
        <f>C22*E22</f>
        <v>1242</v>
      </c>
    </row>
    <row r="23" spans="2:6" ht="15.75" thickBot="1" x14ac:dyDescent="0.3">
      <c r="B23" s="12" t="s">
        <v>15</v>
      </c>
      <c r="C23" s="17">
        <v>1.0049999999999999</v>
      </c>
      <c r="D23" s="13" t="s">
        <v>55</v>
      </c>
      <c r="E23" s="51">
        <v>1130</v>
      </c>
      <c r="F23" s="15">
        <f>C23*E23</f>
        <v>1135.6499999999999</v>
      </c>
    </row>
    <row r="24" spans="2:6" ht="24.75" thickBot="1" x14ac:dyDescent="0.3">
      <c r="B24" s="16" t="s">
        <v>11</v>
      </c>
      <c r="C24" s="17">
        <v>1.97</v>
      </c>
      <c r="D24" s="13" t="s">
        <v>55</v>
      </c>
      <c r="E24" s="51">
        <v>1350</v>
      </c>
      <c r="F24" s="15">
        <f>C24*E24</f>
        <v>2659.5</v>
      </c>
    </row>
    <row r="25" spans="2:6" ht="15.75" thickBot="1" x14ac:dyDescent="0.3">
      <c r="B25" s="12" t="s">
        <v>15</v>
      </c>
      <c r="C25" s="17">
        <v>4</v>
      </c>
      <c r="D25" s="13" t="s">
        <v>55</v>
      </c>
      <c r="E25" s="51">
        <v>1220</v>
      </c>
      <c r="F25" s="15">
        <f t="shared" si="0"/>
        <v>4880</v>
      </c>
    </row>
    <row r="26" spans="2:6" ht="15.75" thickBot="1" x14ac:dyDescent="0.3">
      <c r="B26" s="12" t="s">
        <v>15</v>
      </c>
      <c r="C26" s="34">
        <v>1.1000000000000001</v>
      </c>
      <c r="D26" s="13" t="s">
        <v>55</v>
      </c>
      <c r="E26" s="51">
        <v>1230</v>
      </c>
      <c r="F26" s="15">
        <f t="shared" si="0"/>
        <v>1353</v>
      </c>
    </row>
    <row r="27" spans="2:6" ht="15.75" thickBot="1" x14ac:dyDescent="0.3">
      <c r="B27" s="12" t="s">
        <v>15</v>
      </c>
      <c r="C27" s="34">
        <v>1.0449999999999999</v>
      </c>
      <c r="D27" s="30" t="s">
        <v>55</v>
      </c>
      <c r="E27" s="51">
        <v>1160</v>
      </c>
      <c r="F27" s="15">
        <f t="shared" si="0"/>
        <v>1212.1999999999998</v>
      </c>
    </row>
    <row r="28" spans="2:6" ht="15.75" thickBot="1" x14ac:dyDescent="0.3">
      <c r="B28" s="12" t="s">
        <v>15</v>
      </c>
      <c r="C28" s="34">
        <v>1.06</v>
      </c>
      <c r="D28" s="30" t="s">
        <v>55</v>
      </c>
      <c r="E28" s="51">
        <v>1180</v>
      </c>
      <c r="F28" s="15">
        <f t="shared" si="0"/>
        <v>1250.8</v>
      </c>
    </row>
    <row r="29" spans="2:6" ht="15.75" thickBot="1" x14ac:dyDescent="0.3">
      <c r="B29" s="12" t="s">
        <v>15</v>
      </c>
      <c r="C29" s="44">
        <v>1.0149999999999999</v>
      </c>
      <c r="D29" s="30" t="s">
        <v>55</v>
      </c>
      <c r="E29" s="51">
        <v>1180</v>
      </c>
      <c r="F29" s="15">
        <f t="shared" si="0"/>
        <v>1197.6999999999998</v>
      </c>
    </row>
    <row r="30" spans="2:6" ht="15.75" thickBot="1" x14ac:dyDescent="0.3">
      <c r="B30" s="12" t="s">
        <v>15</v>
      </c>
      <c r="C30" s="44">
        <v>1.0449999999999999</v>
      </c>
      <c r="D30" s="30" t="s">
        <v>55</v>
      </c>
      <c r="E30" s="51">
        <v>1160</v>
      </c>
      <c r="F30" s="15">
        <f t="shared" si="0"/>
        <v>1212.1999999999998</v>
      </c>
    </row>
    <row r="31" spans="2:6" ht="15.75" thickBot="1" x14ac:dyDescent="0.3">
      <c r="B31" s="12" t="s">
        <v>15</v>
      </c>
      <c r="C31" s="44">
        <v>0.98499999999999999</v>
      </c>
      <c r="D31" s="30" t="s">
        <v>55</v>
      </c>
      <c r="E31" s="51">
        <v>1180</v>
      </c>
      <c r="F31" s="15">
        <f t="shared" si="0"/>
        <v>1162.3</v>
      </c>
    </row>
    <row r="32" spans="2:6" ht="15.75" thickBot="1" x14ac:dyDescent="0.3">
      <c r="B32" s="12" t="s">
        <v>15</v>
      </c>
      <c r="C32" s="44">
        <v>1.03</v>
      </c>
      <c r="D32" s="30" t="s">
        <v>55</v>
      </c>
      <c r="E32" s="51">
        <v>1160</v>
      </c>
      <c r="F32" s="15">
        <f t="shared" si="0"/>
        <v>1194.8</v>
      </c>
    </row>
    <row r="33" spans="2:6" ht="15.75" thickBot="1" x14ac:dyDescent="0.3">
      <c r="B33" s="12" t="s">
        <v>15</v>
      </c>
      <c r="C33" s="44">
        <v>1.0649999999999999</v>
      </c>
      <c r="D33" s="30" t="s">
        <v>55</v>
      </c>
      <c r="E33" s="51">
        <v>1130</v>
      </c>
      <c r="F33" s="15">
        <f t="shared" si="0"/>
        <v>1203.45</v>
      </c>
    </row>
    <row r="34" spans="2:6" ht="15.75" thickBot="1" x14ac:dyDescent="0.3">
      <c r="B34" s="12" t="s">
        <v>15</v>
      </c>
      <c r="C34" s="44">
        <v>1.04</v>
      </c>
      <c r="D34" s="30" t="s">
        <v>55</v>
      </c>
      <c r="E34" s="51">
        <v>1160</v>
      </c>
      <c r="F34" s="15">
        <f t="shared" si="0"/>
        <v>1206.4000000000001</v>
      </c>
    </row>
    <row r="35" spans="2:6" ht="24.75" thickBot="1" x14ac:dyDescent="0.3">
      <c r="B35" s="16" t="s">
        <v>11</v>
      </c>
      <c r="C35" s="44">
        <v>1.21</v>
      </c>
      <c r="D35" s="30" t="s">
        <v>55</v>
      </c>
      <c r="E35" s="51">
        <v>1240</v>
      </c>
      <c r="F35" s="15">
        <f t="shared" si="0"/>
        <v>1500.3999999999999</v>
      </c>
    </row>
    <row r="36" spans="2:6" ht="15.75" thickBot="1" x14ac:dyDescent="0.3">
      <c r="B36" s="18"/>
      <c r="C36" s="45">
        <f>SUM(C18:C35)</f>
        <v>24.745000000000001</v>
      </c>
      <c r="D36" s="20"/>
      <c r="E36" s="21" t="s">
        <v>78</v>
      </c>
      <c r="F36" s="22">
        <f>SUM(F18:F35)</f>
        <v>29860.400000000005</v>
      </c>
    </row>
    <row r="38" spans="2:6" x14ac:dyDescent="0.25">
      <c r="B38" s="23" t="s">
        <v>63</v>
      </c>
      <c r="C38" s="24"/>
      <c r="D38" s="24"/>
      <c r="E38" s="24"/>
    </row>
    <row r="39" spans="2:6" x14ac:dyDescent="0.25">
      <c r="B39" s="25"/>
      <c r="C39" s="24"/>
      <c r="D39" s="24"/>
      <c r="E39" s="24"/>
    </row>
    <row r="40" spans="2:6" x14ac:dyDescent="0.25">
      <c r="B40" s="26"/>
      <c r="C40" s="24"/>
      <c r="D40" s="26" t="s">
        <v>64</v>
      </c>
      <c r="E40" s="24"/>
    </row>
    <row r="41" spans="2:6" x14ac:dyDescent="0.25">
      <c r="B41" s="26"/>
      <c r="C41" s="24"/>
      <c r="D41" s="24"/>
      <c r="E41" s="24"/>
    </row>
    <row r="42" spans="2:6" x14ac:dyDescent="0.25">
      <c r="B42" s="26" t="s">
        <v>74</v>
      </c>
      <c r="C42" s="24"/>
      <c r="D42" s="26" t="s">
        <v>65</v>
      </c>
      <c r="E42" s="24"/>
    </row>
    <row r="43" spans="2:6" x14ac:dyDescent="0.25">
      <c r="B43" s="26"/>
      <c r="C43" s="24"/>
      <c r="D43" s="26" t="s">
        <v>66</v>
      </c>
      <c r="E43" s="24"/>
    </row>
    <row r="45" spans="2:6" ht="18.75" customHeight="1" x14ac:dyDescent="0.25"/>
    <row r="47" spans="2:6" ht="9" customHeight="1" x14ac:dyDescent="0.25"/>
    <row r="48" spans="2:6" hidden="1" x14ac:dyDescent="0.25"/>
    <row r="49" spans="10:11" x14ac:dyDescent="0.25">
      <c r="J49" s="73"/>
      <c r="K49" s="73"/>
    </row>
    <row r="71" spans="2:11" x14ac:dyDescent="0.25">
      <c r="B71" s="73"/>
      <c r="C71" s="73"/>
      <c r="D71" s="73"/>
      <c r="E71" s="73"/>
      <c r="F71" s="73"/>
    </row>
    <row r="72" spans="2:11" ht="102.75" customHeight="1" x14ac:dyDescent="0.25">
      <c r="B72" s="73"/>
      <c r="C72" s="73"/>
      <c r="D72" s="73"/>
      <c r="E72" s="73"/>
      <c r="F72" s="73"/>
    </row>
    <row r="73" spans="2:11" x14ac:dyDescent="0.25">
      <c r="B73" s="73"/>
      <c r="C73" s="73"/>
      <c r="D73" s="73"/>
      <c r="E73" s="73"/>
      <c r="F73" s="73"/>
    </row>
    <row r="74" spans="2:11" ht="69.75" customHeight="1" x14ac:dyDescent="0.25">
      <c r="B74" s="73"/>
      <c r="C74" s="73"/>
      <c r="D74" s="73"/>
      <c r="E74" s="73"/>
      <c r="F74" s="73"/>
    </row>
    <row r="75" spans="2:11" x14ac:dyDescent="0.25">
      <c r="J75" s="73"/>
      <c r="K75" s="73"/>
    </row>
  </sheetData>
  <protectedRanges>
    <protectedRange algorithmName="SHA-512" hashValue="poroQ6AOCp+PrXUU2E1NErYIFQH5Vb3rJFa5nEtjHcNd2xSuKk5xyHjxyYSj0ALpLP6WOSx/b1qjw/2zF/GuYQ==" saltValue="BNE7NYaoREnSby9ppJtTLw==" spinCount="100000" sqref="C15 C51 C77" name="Rango3"/>
    <protectedRange algorithmName="SHA-512" hashValue="tUGEn7omUASg2YnQUJFND+3qd4CF5BwoMj/cO/PA5wQF78Nm09A5xeFuei1S8jh1bhgAFdQbH1BhWbmB36F/gA==" saltValue="u/5i146fT7pcplAmbBqlww==" spinCount="100000" sqref="F54:F57 F80:F101 F18:F36" name="Rango2"/>
    <protectedRange algorithmName="SHA-512" hashValue="Fy74vzPqavg1HALyDiBARtZGduGibbQdzXJe+BveEjcDaIaSKVQYGdBygGaDWkJoeeVlREXXbIlDQeT5XgK+1A==" saltValue="3DEii5LrexWdXZ4VPlmQPg==" spinCount="100000" sqref="I13:J16 J49:K52 J75:K78" name="Rango1"/>
  </protectedRanges>
  <mergeCells count="7">
    <mergeCell ref="J75:K75"/>
    <mergeCell ref="B9:F10"/>
    <mergeCell ref="B11:F12"/>
    <mergeCell ref="I13:J13"/>
    <mergeCell ref="J49:K49"/>
    <mergeCell ref="B71:F72"/>
    <mergeCell ref="B73:F74"/>
  </mergeCells>
  <dataValidations count="2">
    <dataValidation type="list" allowBlank="1" showInputMessage="1" showErrorMessage="1" sqref="B68" xr:uid="{09B9F6BA-0AEC-4A54-90DB-7BF17ECD1D15}">
      <formula1>$B$6:$B$7</formula1>
    </dataValidation>
    <dataValidation type="list" allowBlank="1" showInputMessage="1" showErrorMessage="1" sqref="C14 C76" xr:uid="{93C88004-716B-4E4B-A9A7-C6DEB7DD23D8}">
      <formula1>$D$14:$F$14</formula1>
    </dataValidation>
  </dataValidations>
  <pageMargins left="1" right="1" top="1" bottom="1" header="0.5" footer="0.5"/>
  <pageSetup scale="69" orientation="portrait" r:id="rId1"/>
  <rowBreaks count="2" manualBreakCount="2">
    <brk id="43" max="16383" man="1"/>
    <brk id="67" max="5" man="1"/>
  </rowBreaks>
  <colBreaks count="2" manualBreakCount="2">
    <brk id="1" min="43" max="79" man="1"/>
    <brk id="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A6CFE-069D-4A7F-A1A6-79A9BB1761B3}">
  <sheetPr>
    <pageSetUpPr fitToPage="1"/>
  </sheetPr>
  <dimension ref="A6:K80"/>
  <sheetViews>
    <sheetView topLeftCell="A11" zoomScaleNormal="100" workbookViewId="0">
      <selection activeCell="B22" sqref="B22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70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44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4" t="s">
        <v>79</v>
      </c>
      <c r="C11" s="74"/>
      <c r="D11" s="74"/>
      <c r="E11" s="74"/>
      <c r="F11" s="74"/>
    </row>
    <row r="12" spans="2:10" s="5" customFormat="1" ht="37.5" customHeight="1" x14ac:dyDescent="0.25">
      <c r="B12" s="74"/>
      <c r="C12" s="74"/>
      <c r="D12" s="74"/>
      <c r="E12" s="74"/>
      <c r="F12" s="74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$F$41</f>
        <v>30003.299999999996</v>
      </c>
    </row>
    <row r="15" spans="2:10" x14ac:dyDescent="0.25">
      <c r="B15" t="s">
        <v>52</v>
      </c>
      <c r="C15" s="8">
        <f>+F41*J16</f>
        <v>53.098833822182712</v>
      </c>
      <c r="D15" s="52" t="s">
        <v>77</v>
      </c>
      <c r="I15" t="s">
        <v>54</v>
      </c>
      <c r="J15">
        <f>+C41</f>
        <v>24.994999999999994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15.75" thickBot="1" x14ac:dyDescent="0.3">
      <c r="B18" s="12" t="s">
        <v>15</v>
      </c>
      <c r="C18" s="17">
        <v>0.92</v>
      </c>
      <c r="D18" s="13" t="s">
        <v>55</v>
      </c>
      <c r="E18" s="51">
        <v>1150</v>
      </c>
      <c r="F18" s="15">
        <f>C18*E18</f>
        <v>1058</v>
      </c>
    </row>
    <row r="19" spans="2:6" ht="24.75" thickBot="1" x14ac:dyDescent="0.3">
      <c r="B19" s="16" t="s">
        <v>11</v>
      </c>
      <c r="C19" s="17">
        <v>0.98499999999999999</v>
      </c>
      <c r="D19" s="13" t="s">
        <v>55</v>
      </c>
      <c r="E19" s="51">
        <v>1330</v>
      </c>
      <c r="F19" s="15">
        <f>C19*E19</f>
        <v>1310.05</v>
      </c>
    </row>
    <row r="20" spans="2:6" ht="24.75" thickBot="1" x14ac:dyDescent="0.3">
      <c r="B20" s="16" t="s">
        <v>11</v>
      </c>
      <c r="C20" s="17">
        <v>1.0249999999999999</v>
      </c>
      <c r="D20" s="13" t="s">
        <v>55</v>
      </c>
      <c r="E20" s="51">
        <v>1330</v>
      </c>
      <c r="F20" s="15">
        <f t="shared" ref="F20:F40" si="0">C20*E20</f>
        <v>1363.2499999999998</v>
      </c>
    </row>
    <row r="21" spans="2:6" ht="24.75" thickBot="1" x14ac:dyDescent="0.3">
      <c r="B21" s="16" t="s">
        <v>11</v>
      </c>
      <c r="C21" s="17">
        <v>1.105</v>
      </c>
      <c r="D21" s="13" t="s">
        <v>55</v>
      </c>
      <c r="E21" s="51">
        <v>1330</v>
      </c>
      <c r="F21" s="15">
        <f t="shared" si="0"/>
        <v>1469.6499999999999</v>
      </c>
    </row>
    <row r="22" spans="2:6" ht="15.75" thickBot="1" x14ac:dyDescent="0.3">
      <c r="B22" s="12" t="s">
        <v>15</v>
      </c>
      <c r="C22" s="17">
        <v>0.97499999999999998</v>
      </c>
      <c r="D22" s="13" t="s">
        <v>55</v>
      </c>
      <c r="E22" s="51">
        <v>1200</v>
      </c>
      <c r="F22" s="15">
        <f>C22*E22</f>
        <v>1170</v>
      </c>
    </row>
    <row r="23" spans="2:6" ht="15.75" thickBot="1" x14ac:dyDescent="0.3">
      <c r="B23" s="12" t="s">
        <v>15</v>
      </c>
      <c r="C23" s="17">
        <v>1.06</v>
      </c>
      <c r="D23" s="13" t="s">
        <v>55</v>
      </c>
      <c r="E23" s="51">
        <v>1160</v>
      </c>
      <c r="F23" s="15">
        <f>C23*E23</f>
        <v>1229.6000000000001</v>
      </c>
    </row>
    <row r="24" spans="2:6" ht="15.75" thickBot="1" x14ac:dyDescent="0.3">
      <c r="B24" s="12" t="s">
        <v>15</v>
      </c>
      <c r="C24" s="17">
        <v>1.04</v>
      </c>
      <c r="D24" s="13" t="s">
        <v>55</v>
      </c>
      <c r="E24" s="51">
        <v>1230</v>
      </c>
      <c r="F24" s="15">
        <f>C24*E24</f>
        <v>1279.2</v>
      </c>
    </row>
    <row r="25" spans="2:6" ht="15.75" thickBot="1" x14ac:dyDescent="0.3">
      <c r="B25" s="12" t="s">
        <v>15</v>
      </c>
      <c r="C25" s="17">
        <v>1.135</v>
      </c>
      <c r="D25" s="13" t="s">
        <v>55</v>
      </c>
      <c r="E25" s="51">
        <v>1130</v>
      </c>
      <c r="F25" s="15">
        <f t="shared" si="0"/>
        <v>1282.55</v>
      </c>
    </row>
    <row r="26" spans="2:6" ht="15.75" thickBot="1" x14ac:dyDescent="0.3">
      <c r="B26" s="12" t="s">
        <v>15</v>
      </c>
      <c r="C26" s="34">
        <v>2</v>
      </c>
      <c r="D26" s="13" t="s">
        <v>55</v>
      </c>
      <c r="E26" s="51">
        <v>1200</v>
      </c>
      <c r="F26" s="15">
        <f t="shared" si="0"/>
        <v>2400</v>
      </c>
    </row>
    <row r="27" spans="2:6" ht="15.75" thickBot="1" x14ac:dyDescent="0.3">
      <c r="B27" s="12" t="s">
        <v>15</v>
      </c>
      <c r="C27" s="34">
        <v>1.165</v>
      </c>
      <c r="D27" s="30" t="s">
        <v>55</v>
      </c>
      <c r="E27" s="51">
        <v>1180</v>
      </c>
      <c r="F27" s="15">
        <f t="shared" si="0"/>
        <v>1374.7</v>
      </c>
    </row>
    <row r="28" spans="2:6" ht="15.75" thickBot="1" x14ac:dyDescent="0.3">
      <c r="B28" s="12" t="s">
        <v>15</v>
      </c>
      <c r="C28" s="34">
        <v>1.1100000000000001</v>
      </c>
      <c r="D28" s="30" t="s">
        <v>55</v>
      </c>
      <c r="E28" s="51">
        <v>1180</v>
      </c>
      <c r="F28" s="15">
        <f t="shared" si="0"/>
        <v>1309.8000000000002</v>
      </c>
    </row>
    <row r="29" spans="2:6" ht="15.75" thickBot="1" x14ac:dyDescent="0.3">
      <c r="B29" s="12" t="s">
        <v>15</v>
      </c>
      <c r="C29" s="44">
        <v>1.0349999999999999</v>
      </c>
      <c r="D29" s="30" t="s">
        <v>55</v>
      </c>
      <c r="E29" s="51">
        <v>1160</v>
      </c>
      <c r="F29" s="15">
        <f t="shared" si="0"/>
        <v>1200.5999999999999</v>
      </c>
    </row>
    <row r="30" spans="2:6" ht="15.75" thickBot="1" x14ac:dyDescent="0.3">
      <c r="B30" s="12" t="s">
        <v>15</v>
      </c>
      <c r="C30" s="44">
        <v>1.0549999999999999</v>
      </c>
      <c r="D30" s="30" t="s">
        <v>55</v>
      </c>
      <c r="E30" s="51">
        <v>1160</v>
      </c>
      <c r="F30" s="15">
        <f t="shared" si="0"/>
        <v>1223.8</v>
      </c>
    </row>
    <row r="31" spans="2:6" ht="15.75" thickBot="1" x14ac:dyDescent="0.3">
      <c r="B31" s="12" t="s">
        <v>15</v>
      </c>
      <c r="C31" s="44">
        <v>0.995</v>
      </c>
      <c r="D31" s="30" t="s">
        <v>55</v>
      </c>
      <c r="E31" s="51">
        <v>1220</v>
      </c>
      <c r="F31" s="15">
        <f t="shared" si="0"/>
        <v>1213.9000000000001</v>
      </c>
    </row>
    <row r="32" spans="2:6" ht="15.75" thickBot="1" x14ac:dyDescent="0.3">
      <c r="B32" s="12" t="s">
        <v>15</v>
      </c>
      <c r="C32" s="44">
        <v>1.06</v>
      </c>
      <c r="D32" s="30" t="s">
        <v>55</v>
      </c>
      <c r="E32" s="51">
        <v>1200</v>
      </c>
      <c r="F32" s="15">
        <f>C32*E32</f>
        <v>1272</v>
      </c>
    </row>
    <row r="33" spans="1:6" ht="15.75" thickBot="1" x14ac:dyDescent="0.3">
      <c r="B33" s="12" t="s">
        <v>15</v>
      </c>
      <c r="C33" s="44">
        <v>1.0549999999999999</v>
      </c>
      <c r="D33" s="30" t="s">
        <v>55</v>
      </c>
      <c r="E33" s="51">
        <v>1140</v>
      </c>
      <c r="F33" s="15">
        <f>C33*E33</f>
        <v>1202.6999999999998</v>
      </c>
    </row>
    <row r="34" spans="1:6" ht="15.75" thickBot="1" x14ac:dyDescent="0.3">
      <c r="B34" s="12" t="s">
        <v>15</v>
      </c>
      <c r="C34" s="44">
        <v>1.0049999999999999</v>
      </c>
      <c r="D34" s="30" t="s">
        <v>55</v>
      </c>
      <c r="E34" s="51">
        <v>1140</v>
      </c>
      <c r="F34" s="15">
        <f t="shared" si="0"/>
        <v>1145.6999999999998</v>
      </c>
    </row>
    <row r="35" spans="1:6" ht="15.75" thickBot="1" x14ac:dyDescent="0.3">
      <c r="B35" s="12" t="s">
        <v>15</v>
      </c>
      <c r="C35" s="53">
        <v>1.0249999999999999</v>
      </c>
      <c r="D35" s="47" t="s">
        <v>55</v>
      </c>
      <c r="E35" s="54">
        <v>1200</v>
      </c>
      <c r="F35" s="15">
        <f t="shared" si="0"/>
        <v>1230</v>
      </c>
    </row>
    <row r="36" spans="1:6" ht="15.75" thickBot="1" x14ac:dyDescent="0.3">
      <c r="A36" s="28"/>
      <c r="B36" s="12" t="s">
        <v>15</v>
      </c>
      <c r="C36" s="34">
        <v>1.0449999999999999</v>
      </c>
      <c r="D36" s="47" t="s">
        <v>55</v>
      </c>
      <c r="E36" s="55">
        <v>1280</v>
      </c>
      <c r="F36" s="15">
        <f t="shared" si="0"/>
        <v>1337.6</v>
      </c>
    </row>
    <row r="37" spans="1:6" ht="15.75" thickBot="1" x14ac:dyDescent="0.3">
      <c r="A37" s="28"/>
      <c r="B37" s="12" t="s">
        <v>15</v>
      </c>
      <c r="C37" s="34">
        <v>0.99</v>
      </c>
      <c r="D37" s="47" t="s">
        <v>55</v>
      </c>
      <c r="E37" s="55">
        <v>1220</v>
      </c>
      <c r="F37" s="15">
        <f t="shared" si="0"/>
        <v>1207.8</v>
      </c>
    </row>
    <row r="38" spans="1:6" ht="15.75" thickBot="1" x14ac:dyDescent="0.3">
      <c r="A38" s="28"/>
      <c r="B38" s="12" t="s">
        <v>15</v>
      </c>
      <c r="C38" s="34">
        <v>1.05</v>
      </c>
      <c r="D38" s="47" t="s">
        <v>55</v>
      </c>
      <c r="E38" s="55">
        <v>1200</v>
      </c>
      <c r="F38" s="15">
        <f t="shared" si="0"/>
        <v>1260</v>
      </c>
    </row>
    <row r="39" spans="1:6" ht="15.75" thickBot="1" x14ac:dyDescent="0.3">
      <c r="A39" s="28"/>
      <c r="B39" s="12" t="s">
        <v>15</v>
      </c>
      <c r="C39" s="34">
        <v>1.02</v>
      </c>
      <c r="D39" s="47" t="s">
        <v>55</v>
      </c>
      <c r="E39" s="55">
        <v>1140</v>
      </c>
      <c r="F39" s="15">
        <f t="shared" si="0"/>
        <v>1162.8</v>
      </c>
    </row>
    <row r="40" spans="1:6" ht="15.75" thickBot="1" x14ac:dyDescent="0.3">
      <c r="A40" s="28"/>
      <c r="B40" s="12" t="s">
        <v>15</v>
      </c>
      <c r="C40" s="34">
        <v>1.1399999999999999</v>
      </c>
      <c r="D40" s="30" t="s">
        <v>55</v>
      </c>
      <c r="E40" s="55">
        <v>1140</v>
      </c>
      <c r="F40" s="15">
        <f t="shared" si="0"/>
        <v>1299.5999999999999</v>
      </c>
    </row>
    <row r="41" spans="1:6" ht="15.75" thickBot="1" x14ac:dyDescent="0.3">
      <c r="B41" s="18"/>
      <c r="C41" s="45">
        <f>SUM(C18:C40)</f>
        <v>24.994999999999994</v>
      </c>
      <c r="D41" s="20"/>
      <c r="E41" s="21" t="s">
        <v>78</v>
      </c>
      <c r="F41" s="22">
        <f>SUM(F18:F40)</f>
        <v>30003.299999999996</v>
      </c>
    </row>
    <row r="43" spans="1:6" x14ac:dyDescent="0.25">
      <c r="B43" s="23" t="s">
        <v>80</v>
      </c>
      <c r="C43" s="24"/>
      <c r="D43" s="24"/>
      <c r="E43" s="24"/>
    </row>
    <row r="44" spans="1:6" x14ac:dyDescent="0.25">
      <c r="B44" s="25"/>
      <c r="C44" s="24"/>
      <c r="D44" s="24"/>
      <c r="E44" s="24"/>
    </row>
    <row r="45" spans="1:6" x14ac:dyDescent="0.25">
      <c r="B45" s="26"/>
      <c r="C45" s="24"/>
      <c r="D45" s="26" t="s">
        <v>64</v>
      </c>
      <c r="E45" s="24"/>
    </row>
    <row r="46" spans="1:6" x14ac:dyDescent="0.25">
      <c r="B46" s="26"/>
      <c r="C46" s="24"/>
      <c r="D46" s="24"/>
      <c r="E46" s="24"/>
    </row>
    <row r="47" spans="1:6" x14ac:dyDescent="0.25">
      <c r="B47" s="26" t="s">
        <v>74</v>
      </c>
      <c r="C47" s="24"/>
      <c r="D47" s="26" t="s">
        <v>65</v>
      </c>
      <c r="E47" s="24"/>
    </row>
    <row r="48" spans="1:6" x14ac:dyDescent="0.25">
      <c r="B48" s="26"/>
      <c r="C48" s="24"/>
      <c r="D48" s="26" t="s">
        <v>66</v>
      </c>
      <c r="E48" s="24"/>
    </row>
    <row r="50" spans="10:11" ht="18.75" customHeight="1" x14ac:dyDescent="0.25"/>
    <row r="52" spans="10:11" ht="9" customHeight="1" x14ac:dyDescent="0.25"/>
    <row r="53" spans="10:11" hidden="1" x14ac:dyDescent="0.25"/>
    <row r="54" spans="10:11" x14ac:dyDescent="0.25">
      <c r="J54" s="73"/>
      <c r="K54" s="73"/>
    </row>
    <row r="76" spans="2:11" x14ac:dyDescent="0.25">
      <c r="B76" s="73"/>
      <c r="C76" s="73"/>
      <c r="D76" s="73"/>
      <c r="E76" s="73"/>
      <c r="F76" s="73"/>
    </row>
    <row r="77" spans="2:11" ht="102.75" customHeight="1" x14ac:dyDescent="0.25">
      <c r="B77" s="73"/>
      <c r="C77" s="73"/>
      <c r="D77" s="73"/>
      <c r="E77" s="73"/>
      <c r="F77" s="73"/>
    </row>
    <row r="78" spans="2:11" x14ac:dyDescent="0.25">
      <c r="B78" s="73"/>
      <c r="C78" s="73"/>
      <c r="D78" s="73"/>
      <c r="E78" s="73"/>
      <c r="F78" s="73"/>
    </row>
    <row r="79" spans="2:11" ht="69.75" customHeight="1" x14ac:dyDescent="0.25">
      <c r="B79" s="73"/>
      <c r="C79" s="73"/>
      <c r="D79" s="73"/>
      <c r="E79" s="73"/>
      <c r="F79" s="73"/>
    </row>
    <row r="80" spans="2:11" x14ac:dyDescent="0.25">
      <c r="J80" s="73"/>
      <c r="K80" s="73"/>
    </row>
  </sheetData>
  <protectedRanges>
    <protectedRange algorithmName="SHA-512" hashValue="poroQ6AOCp+PrXUU2E1NErYIFQH5Vb3rJFa5nEtjHcNd2xSuKk5xyHjxyYSj0ALpLP6WOSx/b1qjw/2zF/GuYQ==" saltValue="BNE7NYaoREnSby9ppJtTLw==" spinCount="100000" sqref="C15 C56 C82" name="Rango3"/>
    <protectedRange algorithmName="SHA-512" hashValue="tUGEn7omUASg2YnQUJFND+3qd4CF5BwoMj/cO/PA5wQF78Nm09A5xeFuei1S8jh1bhgAFdQbH1BhWbmB36F/gA==" saltValue="u/5i146fT7pcplAmbBqlww==" spinCount="100000" sqref="F59:F62 F85:F106 F18:F41" name="Rango2"/>
    <protectedRange algorithmName="SHA-512" hashValue="Fy74vzPqavg1HALyDiBARtZGduGibbQdzXJe+BveEjcDaIaSKVQYGdBygGaDWkJoeeVlREXXbIlDQeT5XgK+1A==" saltValue="3DEii5LrexWdXZ4VPlmQPg==" spinCount="100000" sqref="I13:J16 J54:K57 J80:K83" name="Rango1"/>
  </protectedRanges>
  <mergeCells count="7">
    <mergeCell ref="J80:K80"/>
    <mergeCell ref="B9:F10"/>
    <mergeCell ref="B11:F12"/>
    <mergeCell ref="I13:J13"/>
    <mergeCell ref="J54:K54"/>
    <mergeCell ref="B76:F77"/>
    <mergeCell ref="B78:F79"/>
  </mergeCells>
  <dataValidations count="2">
    <dataValidation type="list" allowBlank="1" showInputMessage="1" showErrorMessage="1" sqref="C14 C81" xr:uid="{6DFEEC39-1C04-463A-8DA6-807BEC51D5AF}">
      <formula1>$D$14:$F$14</formula1>
    </dataValidation>
    <dataValidation type="list" allowBlank="1" showInputMessage="1" showErrorMessage="1" sqref="B73" xr:uid="{95AF25B9-DE36-4464-A8E6-961F0D917155}">
      <formula1>$B$6:$B$7</formula1>
    </dataValidation>
  </dataValidations>
  <pageMargins left="1" right="1" top="1" bottom="1" header="0.5" footer="0.5"/>
  <pageSetup scale="69" fitToHeight="0" orientation="portrait" r:id="rId1"/>
  <rowBreaks count="2" manualBreakCount="2">
    <brk id="49" min="1" max="5" man="1"/>
    <brk id="72" max="5" man="1"/>
  </rowBreaks>
  <colBreaks count="2" manualBreakCount="2">
    <brk id="1" min="48" max="84" man="1"/>
    <brk id="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9520-6E2F-4951-85D4-D6E38DFDFB4B}">
  <sheetPr>
    <pageSetUpPr fitToPage="1"/>
  </sheetPr>
  <dimension ref="A6:K80"/>
  <sheetViews>
    <sheetView topLeftCell="A10" zoomScaleNormal="100" workbookViewId="0">
      <selection activeCell="B29" sqref="B29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70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44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4" t="s">
        <v>81</v>
      </c>
      <c r="C11" s="74"/>
      <c r="D11" s="74"/>
      <c r="E11" s="74"/>
      <c r="F11" s="74"/>
    </row>
    <row r="12" spans="2:10" s="5" customFormat="1" ht="37.5" customHeight="1" x14ac:dyDescent="0.25">
      <c r="B12" s="74"/>
      <c r="C12" s="74"/>
      <c r="D12" s="74"/>
      <c r="E12" s="74"/>
      <c r="F12" s="74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$F$41</f>
        <v>30565.25</v>
      </c>
    </row>
    <row r="15" spans="2:10" x14ac:dyDescent="0.25">
      <c r="B15" t="s">
        <v>52</v>
      </c>
      <c r="C15" s="8">
        <f>+F41*J16</f>
        <v>54.093354080500156</v>
      </c>
      <c r="D15" s="52" t="s">
        <v>77</v>
      </c>
      <c r="I15" t="s">
        <v>54</v>
      </c>
      <c r="J15">
        <f>+C41</f>
        <v>24.634999999999994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15.75" thickBot="1" x14ac:dyDescent="0.3">
      <c r="B18" s="12" t="s">
        <v>15</v>
      </c>
      <c r="C18" s="17">
        <v>1.78</v>
      </c>
      <c r="D18" s="13" t="s">
        <v>55</v>
      </c>
      <c r="E18" s="51">
        <v>1380</v>
      </c>
      <c r="F18" s="15">
        <f>C18*E18</f>
        <v>2456.4</v>
      </c>
    </row>
    <row r="19" spans="2:6" ht="15.75" thickBot="1" x14ac:dyDescent="0.3">
      <c r="B19" s="12" t="s">
        <v>15</v>
      </c>
      <c r="C19" s="17">
        <v>0.97</v>
      </c>
      <c r="D19" s="13" t="s">
        <v>55</v>
      </c>
      <c r="E19" s="51">
        <v>1220</v>
      </c>
      <c r="F19" s="15">
        <f>C19*E19</f>
        <v>1183.3999999999999</v>
      </c>
    </row>
    <row r="20" spans="2:6" ht="15.75" thickBot="1" x14ac:dyDescent="0.3">
      <c r="B20" s="12" t="s">
        <v>15</v>
      </c>
      <c r="C20" s="17">
        <v>1.0249999999999999</v>
      </c>
      <c r="D20" s="13" t="s">
        <v>55</v>
      </c>
      <c r="E20" s="51">
        <v>1130</v>
      </c>
      <c r="F20" s="15">
        <f t="shared" ref="F20:F40" si="0">C20*E20</f>
        <v>1158.25</v>
      </c>
    </row>
    <row r="21" spans="2:6" ht="15.75" thickBot="1" x14ac:dyDescent="0.3">
      <c r="B21" s="12" t="s">
        <v>15</v>
      </c>
      <c r="C21" s="17">
        <v>1.03</v>
      </c>
      <c r="D21" s="13" t="s">
        <v>55</v>
      </c>
      <c r="E21" s="51">
        <v>1250</v>
      </c>
      <c r="F21" s="15">
        <f t="shared" si="0"/>
        <v>1287.5</v>
      </c>
    </row>
    <row r="22" spans="2:6" ht="24.75" thickBot="1" x14ac:dyDescent="0.3">
      <c r="B22" s="16" t="s">
        <v>11</v>
      </c>
      <c r="C22" s="17">
        <v>1.0249999999999999</v>
      </c>
      <c r="D22" s="13" t="s">
        <v>55</v>
      </c>
      <c r="E22" s="51">
        <v>1300</v>
      </c>
      <c r="F22" s="15">
        <f>C22*E22</f>
        <v>1332.4999999999998</v>
      </c>
    </row>
    <row r="23" spans="2:6" ht="24.75" thickBot="1" x14ac:dyDescent="0.3">
      <c r="B23" s="16" t="s">
        <v>11</v>
      </c>
      <c r="C23" s="17">
        <v>1.095</v>
      </c>
      <c r="D23" s="13" t="s">
        <v>55</v>
      </c>
      <c r="E23" s="51">
        <v>1300</v>
      </c>
      <c r="F23" s="15">
        <f>C23*E23</f>
        <v>1423.5</v>
      </c>
    </row>
    <row r="24" spans="2:6" ht="15.75" thickBot="1" x14ac:dyDescent="0.3">
      <c r="B24" s="12" t="s">
        <v>15</v>
      </c>
      <c r="C24" s="17">
        <v>1.0549999999999999</v>
      </c>
      <c r="D24" s="13" t="s">
        <v>55</v>
      </c>
      <c r="E24" s="51">
        <v>1160</v>
      </c>
      <c r="F24" s="15">
        <f>C24*E24</f>
        <v>1223.8</v>
      </c>
    </row>
    <row r="25" spans="2:6" ht="15.75" thickBot="1" x14ac:dyDescent="0.3">
      <c r="B25" s="12" t="s">
        <v>15</v>
      </c>
      <c r="C25" s="17">
        <v>0.91500000000000004</v>
      </c>
      <c r="D25" s="13" t="s">
        <v>55</v>
      </c>
      <c r="E25" s="51">
        <v>1220</v>
      </c>
      <c r="F25" s="15">
        <f t="shared" si="0"/>
        <v>1116.3</v>
      </c>
    </row>
    <row r="26" spans="2:6" ht="15.75" thickBot="1" x14ac:dyDescent="0.3">
      <c r="B26" s="12" t="s">
        <v>15</v>
      </c>
      <c r="C26" s="34">
        <v>1.04</v>
      </c>
      <c r="D26" s="13" t="s">
        <v>55</v>
      </c>
      <c r="E26" s="51">
        <v>1220</v>
      </c>
      <c r="F26" s="15">
        <f t="shared" si="0"/>
        <v>1268.8</v>
      </c>
    </row>
    <row r="27" spans="2:6" ht="15.75" thickBot="1" x14ac:dyDescent="0.3">
      <c r="B27" s="12" t="s">
        <v>15</v>
      </c>
      <c r="C27" s="34">
        <v>1.0049999999999999</v>
      </c>
      <c r="D27" s="30" t="s">
        <v>55</v>
      </c>
      <c r="E27" s="51">
        <v>1140</v>
      </c>
      <c r="F27" s="15">
        <f t="shared" si="0"/>
        <v>1145.6999999999998</v>
      </c>
    </row>
    <row r="28" spans="2:6" ht="24.75" thickBot="1" x14ac:dyDescent="0.3">
      <c r="B28" s="16" t="s">
        <v>11</v>
      </c>
      <c r="C28" s="34">
        <v>1.1299999999999999</v>
      </c>
      <c r="D28" s="30" t="s">
        <v>55</v>
      </c>
      <c r="E28" s="51">
        <v>1300</v>
      </c>
      <c r="F28" s="15">
        <f t="shared" si="0"/>
        <v>1468.9999999999998</v>
      </c>
    </row>
    <row r="29" spans="2:6" ht="24.75" thickBot="1" x14ac:dyDescent="0.3">
      <c r="B29" s="16" t="s">
        <v>11</v>
      </c>
      <c r="C29" s="44">
        <v>1.135</v>
      </c>
      <c r="D29" s="30" t="s">
        <v>55</v>
      </c>
      <c r="E29" s="51">
        <v>1350</v>
      </c>
      <c r="F29" s="15">
        <f t="shared" si="0"/>
        <v>1532.25</v>
      </c>
    </row>
    <row r="30" spans="2:6" ht="15.75" thickBot="1" x14ac:dyDescent="0.3">
      <c r="B30" s="12" t="s">
        <v>15</v>
      </c>
      <c r="C30" s="44">
        <v>0.93500000000000005</v>
      </c>
      <c r="D30" s="30" t="s">
        <v>55</v>
      </c>
      <c r="E30" s="51">
        <v>1260</v>
      </c>
      <c r="F30" s="15">
        <f t="shared" si="0"/>
        <v>1178.1000000000001</v>
      </c>
    </row>
    <row r="31" spans="2:6" ht="15.75" thickBot="1" x14ac:dyDescent="0.3">
      <c r="B31" s="12" t="s">
        <v>15</v>
      </c>
      <c r="C31" s="44">
        <v>1.02</v>
      </c>
      <c r="D31" s="30" t="s">
        <v>55</v>
      </c>
      <c r="E31" s="51">
        <v>1270</v>
      </c>
      <c r="F31" s="15">
        <f t="shared" si="0"/>
        <v>1295.4000000000001</v>
      </c>
    </row>
    <row r="32" spans="2:6" ht="15.75" thickBot="1" x14ac:dyDescent="0.3">
      <c r="B32" s="12" t="s">
        <v>15</v>
      </c>
      <c r="C32" s="44">
        <v>1.04</v>
      </c>
      <c r="D32" s="30" t="s">
        <v>55</v>
      </c>
      <c r="E32" s="51">
        <v>1230</v>
      </c>
      <c r="F32" s="15">
        <f>C32*E32</f>
        <v>1279.2</v>
      </c>
    </row>
    <row r="33" spans="1:6" ht="24.75" thickBot="1" x14ac:dyDescent="0.3">
      <c r="B33" s="16" t="s">
        <v>11</v>
      </c>
      <c r="C33" s="44">
        <v>1.1100000000000001</v>
      </c>
      <c r="D33" s="30" t="s">
        <v>55</v>
      </c>
      <c r="E33" s="51">
        <v>1270</v>
      </c>
      <c r="F33" s="15">
        <f>C33*E33</f>
        <v>1409.7</v>
      </c>
    </row>
    <row r="34" spans="1:6" ht="15.75" thickBot="1" x14ac:dyDescent="0.3">
      <c r="B34" s="12" t="s">
        <v>15</v>
      </c>
      <c r="C34" s="44">
        <v>1.1200000000000001</v>
      </c>
      <c r="D34" s="30" t="s">
        <v>55</v>
      </c>
      <c r="E34" s="51">
        <v>1170</v>
      </c>
      <c r="F34" s="15">
        <f t="shared" si="0"/>
        <v>1310.4000000000001</v>
      </c>
    </row>
    <row r="35" spans="1:6" ht="15.75" thickBot="1" x14ac:dyDescent="0.3">
      <c r="B35" s="12" t="s">
        <v>15</v>
      </c>
      <c r="C35" s="53">
        <v>1.06</v>
      </c>
      <c r="D35" s="47" t="s">
        <v>55</v>
      </c>
      <c r="E35" s="54">
        <v>1200</v>
      </c>
      <c r="F35" s="15">
        <f t="shared" si="0"/>
        <v>1272</v>
      </c>
    </row>
    <row r="36" spans="1:6" ht="15.75" thickBot="1" x14ac:dyDescent="0.3">
      <c r="A36" s="28"/>
      <c r="B36" s="12" t="s">
        <v>15</v>
      </c>
      <c r="C36" s="34">
        <v>0.95</v>
      </c>
      <c r="D36" s="47" t="s">
        <v>55</v>
      </c>
      <c r="E36" s="55">
        <v>1220</v>
      </c>
      <c r="F36" s="15">
        <f t="shared" si="0"/>
        <v>1159</v>
      </c>
    </row>
    <row r="37" spans="1:6" ht="15.75" thickBot="1" x14ac:dyDescent="0.3">
      <c r="A37" s="28"/>
      <c r="B37" s="12" t="s">
        <v>15</v>
      </c>
      <c r="C37" s="34">
        <v>1.05</v>
      </c>
      <c r="D37" s="47" t="s">
        <v>55</v>
      </c>
      <c r="E37" s="55">
        <v>1240</v>
      </c>
      <c r="F37" s="15">
        <f>C37*E37</f>
        <v>1302</v>
      </c>
    </row>
    <row r="38" spans="1:6" ht="15.75" thickBot="1" x14ac:dyDescent="0.3">
      <c r="A38" s="28"/>
      <c r="B38" s="12" t="s">
        <v>15</v>
      </c>
      <c r="C38" s="34">
        <v>1.0449999999999999</v>
      </c>
      <c r="D38" s="47" t="s">
        <v>55</v>
      </c>
      <c r="E38" s="55">
        <v>1240</v>
      </c>
      <c r="F38" s="15">
        <f>C38*E38</f>
        <v>1295.8</v>
      </c>
    </row>
    <row r="39" spans="1:6" ht="15.75" thickBot="1" x14ac:dyDescent="0.3">
      <c r="A39" s="28"/>
      <c r="B39" s="12" t="s">
        <v>15</v>
      </c>
      <c r="C39" s="34">
        <v>1.075</v>
      </c>
      <c r="D39" s="47" t="s">
        <v>55</v>
      </c>
      <c r="E39" s="55">
        <v>1150</v>
      </c>
      <c r="F39" s="15">
        <f t="shared" si="0"/>
        <v>1236.25</v>
      </c>
    </row>
    <row r="40" spans="1:6" ht="15.75" thickBot="1" x14ac:dyDescent="0.3">
      <c r="A40" s="28"/>
      <c r="B40" s="12" t="s">
        <v>15</v>
      </c>
      <c r="C40" s="34">
        <v>1.0249999999999999</v>
      </c>
      <c r="D40" s="30" t="s">
        <v>55</v>
      </c>
      <c r="E40" s="55">
        <v>1200</v>
      </c>
      <c r="F40" s="15">
        <f t="shared" si="0"/>
        <v>1230</v>
      </c>
    </row>
    <row r="41" spans="1:6" ht="15.75" thickBot="1" x14ac:dyDescent="0.3">
      <c r="B41" s="18"/>
      <c r="C41" s="45">
        <f>SUM(C18:C40)</f>
        <v>24.634999999999994</v>
      </c>
      <c r="D41" s="20"/>
      <c r="E41" s="21" t="s">
        <v>78</v>
      </c>
      <c r="F41" s="22">
        <f>SUM(F18:F40)</f>
        <v>30565.25</v>
      </c>
    </row>
    <row r="43" spans="1:6" x14ac:dyDescent="0.25">
      <c r="B43" s="23" t="s">
        <v>80</v>
      </c>
      <c r="C43" s="24"/>
      <c r="D43" s="24"/>
      <c r="E43" s="24"/>
    </row>
    <row r="44" spans="1:6" x14ac:dyDescent="0.25">
      <c r="B44" s="25"/>
      <c r="C44" s="24"/>
      <c r="D44" s="24"/>
      <c r="E44" s="24"/>
    </row>
    <row r="45" spans="1:6" x14ac:dyDescent="0.25">
      <c r="B45" s="26"/>
      <c r="C45" s="24"/>
      <c r="D45" s="26" t="s">
        <v>64</v>
      </c>
      <c r="E45" s="24"/>
    </row>
    <row r="46" spans="1:6" x14ac:dyDescent="0.25">
      <c r="B46" s="26"/>
      <c r="C46" s="24"/>
      <c r="D46" s="24"/>
      <c r="E46" s="24"/>
    </row>
    <row r="47" spans="1:6" x14ac:dyDescent="0.25">
      <c r="B47" s="26" t="s">
        <v>74</v>
      </c>
      <c r="C47" s="24"/>
      <c r="D47" s="26" t="s">
        <v>65</v>
      </c>
      <c r="E47" s="24"/>
    </row>
    <row r="48" spans="1:6" x14ac:dyDescent="0.25">
      <c r="B48" s="26"/>
      <c r="C48" s="24"/>
      <c r="D48" s="26" t="s">
        <v>66</v>
      </c>
      <c r="E48" s="24"/>
    </row>
    <row r="50" spans="10:11" ht="18.75" customHeight="1" x14ac:dyDescent="0.25"/>
    <row r="52" spans="10:11" ht="9" customHeight="1" x14ac:dyDescent="0.25"/>
    <row r="53" spans="10:11" hidden="1" x14ac:dyDescent="0.25"/>
    <row r="54" spans="10:11" x14ac:dyDescent="0.25">
      <c r="J54" s="73"/>
      <c r="K54" s="73"/>
    </row>
    <row r="76" spans="2:11" x14ac:dyDescent="0.25">
      <c r="B76" s="73"/>
      <c r="C76" s="73"/>
      <c r="D76" s="73"/>
      <c r="E76" s="73"/>
      <c r="F76" s="73"/>
    </row>
    <row r="77" spans="2:11" ht="102.75" customHeight="1" x14ac:dyDescent="0.25">
      <c r="B77" s="73"/>
      <c r="C77" s="73"/>
      <c r="D77" s="73"/>
      <c r="E77" s="73"/>
      <c r="F77" s="73"/>
    </row>
    <row r="78" spans="2:11" x14ac:dyDescent="0.25">
      <c r="B78" s="73"/>
      <c r="C78" s="73"/>
      <c r="D78" s="73"/>
      <c r="E78" s="73"/>
      <c r="F78" s="73"/>
    </row>
    <row r="79" spans="2:11" ht="69.75" customHeight="1" x14ac:dyDescent="0.25">
      <c r="B79" s="73"/>
      <c r="C79" s="73"/>
      <c r="D79" s="73"/>
      <c r="E79" s="73"/>
      <c r="F79" s="73"/>
    </row>
    <row r="80" spans="2:11" x14ac:dyDescent="0.25">
      <c r="J80" s="73"/>
      <c r="K80" s="73"/>
    </row>
  </sheetData>
  <protectedRanges>
    <protectedRange algorithmName="SHA-512" hashValue="poroQ6AOCp+PrXUU2E1NErYIFQH5Vb3rJFa5nEtjHcNd2xSuKk5xyHjxyYSj0ALpLP6WOSx/b1qjw/2zF/GuYQ==" saltValue="BNE7NYaoREnSby9ppJtTLw==" spinCount="100000" sqref="C15 C56 C82" name="Rango3"/>
    <protectedRange algorithmName="SHA-512" hashValue="tUGEn7omUASg2YnQUJFND+3qd4CF5BwoMj/cO/PA5wQF78Nm09A5xeFuei1S8jh1bhgAFdQbH1BhWbmB36F/gA==" saltValue="u/5i146fT7pcplAmbBqlww==" spinCount="100000" sqref="F59:F62 F85:F106 F18:F41" name="Rango2"/>
    <protectedRange algorithmName="SHA-512" hashValue="Fy74vzPqavg1HALyDiBARtZGduGibbQdzXJe+BveEjcDaIaSKVQYGdBygGaDWkJoeeVlREXXbIlDQeT5XgK+1A==" saltValue="3DEii5LrexWdXZ4VPlmQPg==" spinCount="100000" sqref="I13:J16 J54:K57 J80:K83" name="Rango1"/>
  </protectedRanges>
  <mergeCells count="7">
    <mergeCell ref="J80:K80"/>
    <mergeCell ref="B9:F10"/>
    <mergeCell ref="B11:F12"/>
    <mergeCell ref="I13:J13"/>
    <mergeCell ref="J54:K54"/>
    <mergeCell ref="B76:F77"/>
    <mergeCell ref="B78:F79"/>
  </mergeCells>
  <dataValidations count="2">
    <dataValidation type="list" allowBlank="1" showInputMessage="1" showErrorMessage="1" sqref="B73" xr:uid="{405BCC2F-454F-4765-8CEE-6C11159A46DF}">
      <formula1>$B$6:$B$7</formula1>
    </dataValidation>
    <dataValidation type="list" allowBlank="1" showInputMessage="1" showErrorMessage="1" sqref="C14 C81" xr:uid="{A77D892E-995C-4390-BA52-E29BB4CA85C8}">
      <formula1>$D$14:$F$14</formula1>
    </dataValidation>
  </dataValidations>
  <pageMargins left="0.25" right="0.25" top="0.75" bottom="0.75" header="0.3" footer="0.3"/>
  <pageSetup scale="85" fitToHeight="0" orientation="portrait" r:id="rId1"/>
  <rowBreaks count="2" manualBreakCount="2">
    <brk id="49" min="1" max="5" man="1"/>
    <brk id="72" max="5" man="1"/>
  </rowBreaks>
  <colBreaks count="2" manualBreakCount="2">
    <brk id="1" min="48" max="84" man="1"/>
    <brk id="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202B-4129-49D0-8173-6718282CC3BB}">
  <sheetPr>
    <pageSetUpPr fitToPage="1"/>
  </sheetPr>
  <dimension ref="A6:K79"/>
  <sheetViews>
    <sheetView topLeftCell="A12" zoomScaleNormal="100" workbookViewId="0">
      <selection activeCell="B39" sqref="B39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44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5" t="s">
        <v>83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$F$40</f>
        <v>28647.25</v>
      </c>
    </row>
    <row r="15" spans="2:10" x14ac:dyDescent="0.25">
      <c r="B15" t="s">
        <v>52</v>
      </c>
      <c r="C15" s="8">
        <f>+F40*J16</f>
        <v>50.698942023461548</v>
      </c>
      <c r="D15" s="52" t="s">
        <v>77</v>
      </c>
      <c r="I15" t="s">
        <v>54</v>
      </c>
      <c r="J15">
        <f>+C40</f>
        <v>25.965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15.75" thickBot="1" x14ac:dyDescent="0.3">
      <c r="B18" s="12" t="s">
        <v>15</v>
      </c>
      <c r="C18" s="17">
        <v>0.97499999999999998</v>
      </c>
      <c r="D18" s="13" t="s">
        <v>55</v>
      </c>
      <c r="E18" s="51">
        <v>1150</v>
      </c>
      <c r="F18" s="15">
        <f>C18*E18</f>
        <v>1121.25</v>
      </c>
    </row>
    <row r="19" spans="2:6" ht="15.75" thickBot="1" x14ac:dyDescent="0.3">
      <c r="B19" s="12" t="s">
        <v>15</v>
      </c>
      <c r="C19" s="17">
        <v>1.0249999999999999</v>
      </c>
      <c r="D19" s="13" t="s">
        <v>55</v>
      </c>
      <c r="E19" s="51">
        <v>1180</v>
      </c>
      <c r="F19" s="15">
        <f>C19*E19</f>
        <v>1209.5</v>
      </c>
    </row>
    <row r="20" spans="2:6" ht="15.75" thickBot="1" x14ac:dyDescent="0.3">
      <c r="B20" s="12" t="s">
        <v>15</v>
      </c>
      <c r="C20" s="17">
        <v>1.98</v>
      </c>
      <c r="D20" s="13" t="s">
        <v>55</v>
      </c>
      <c r="E20" s="51">
        <v>1090</v>
      </c>
      <c r="F20" s="15">
        <f t="shared" ref="F20:F39" si="0">C20*E20</f>
        <v>2158.1999999999998</v>
      </c>
    </row>
    <row r="21" spans="2:6" ht="15.75" thickBot="1" x14ac:dyDescent="0.3">
      <c r="B21" s="12" t="s">
        <v>15</v>
      </c>
      <c r="C21" s="17">
        <v>1.06</v>
      </c>
      <c r="D21" s="13" t="s">
        <v>55</v>
      </c>
      <c r="E21" s="51">
        <v>1080</v>
      </c>
      <c r="F21" s="15">
        <f t="shared" si="0"/>
        <v>1144.8</v>
      </c>
    </row>
    <row r="22" spans="2:6" ht="15.75" thickBot="1" x14ac:dyDescent="0.3">
      <c r="B22" s="12" t="s">
        <v>15</v>
      </c>
      <c r="C22" s="17">
        <v>1.0349999999999999</v>
      </c>
      <c r="D22" s="13" t="s">
        <v>55</v>
      </c>
      <c r="E22" s="51">
        <v>1080</v>
      </c>
      <c r="F22" s="15">
        <f>C22*E22</f>
        <v>1117.8</v>
      </c>
    </row>
    <row r="23" spans="2:6" ht="15.75" thickBot="1" x14ac:dyDescent="0.3">
      <c r="B23" s="12" t="s">
        <v>15</v>
      </c>
      <c r="C23" s="17">
        <v>1.17</v>
      </c>
      <c r="D23" s="13" t="s">
        <v>55</v>
      </c>
      <c r="E23" s="51">
        <v>1090</v>
      </c>
      <c r="F23" s="15">
        <f>C23*E23</f>
        <v>1275.3</v>
      </c>
    </row>
    <row r="24" spans="2:6" ht="15.75" thickBot="1" x14ac:dyDescent="0.3">
      <c r="B24" s="12" t="s">
        <v>15</v>
      </c>
      <c r="C24" s="17">
        <v>1.2549999999999999</v>
      </c>
      <c r="D24" s="13" t="s">
        <v>55</v>
      </c>
      <c r="E24" s="51">
        <v>1220</v>
      </c>
      <c r="F24" s="15">
        <f>C24*E24</f>
        <v>1531.1</v>
      </c>
    </row>
    <row r="25" spans="2:6" ht="15.75" thickBot="1" x14ac:dyDescent="0.3">
      <c r="B25" s="12" t="s">
        <v>15</v>
      </c>
      <c r="C25" s="17">
        <v>1.0549999999999999</v>
      </c>
      <c r="D25" s="13" t="s">
        <v>55</v>
      </c>
      <c r="E25" s="51">
        <v>1080</v>
      </c>
      <c r="F25" s="15">
        <f t="shared" si="0"/>
        <v>1139.3999999999999</v>
      </c>
    </row>
    <row r="26" spans="2:6" ht="15.75" thickBot="1" x14ac:dyDescent="0.3">
      <c r="B26" s="12" t="s">
        <v>15</v>
      </c>
      <c r="C26" s="34">
        <v>1.385</v>
      </c>
      <c r="D26" s="13" t="s">
        <v>55</v>
      </c>
      <c r="E26" s="51">
        <v>1060</v>
      </c>
      <c r="F26" s="15">
        <f t="shared" si="0"/>
        <v>1468.1</v>
      </c>
    </row>
    <row r="27" spans="2:6" ht="15.75" thickBot="1" x14ac:dyDescent="0.3">
      <c r="B27" s="12" t="s">
        <v>15</v>
      </c>
      <c r="C27" s="34">
        <v>2.0099999999999998</v>
      </c>
      <c r="D27" s="30" t="s">
        <v>55</v>
      </c>
      <c r="E27" s="51">
        <v>1120</v>
      </c>
      <c r="F27" s="15">
        <f t="shared" si="0"/>
        <v>2251.1999999999998</v>
      </c>
    </row>
    <row r="28" spans="2:6" ht="15.75" thickBot="1" x14ac:dyDescent="0.3">
      <c r="B28" s="12" t="s">
        <v>15</v>
      </c>
      <c r="C28" s="34">
        <v>1.0349999999999999</v>
      </c>
      <c r="D28" s="30" t="s">
        <v>55</v>
      </c>
      <c r="E28" s="51">
        <v>1100</v>
      </c>
      <c r="F28" s="15">
        <f t="shared" si="0"/>
        <v>1138.5</v>
      </c>
    </row>
    <row r="29" spans="2:6" ht="15.75" thickBot="1" x14ac:dyDescent="0.3">
      <c r="B29" s="12" t="s">
        <v>15</v>
      </c>
      <c r="C29" s="44">
        <v>0.98499999999999999</v>
      </c>
      <c r="D29" s="30" t="s">
        <v>55</v>
      </c>
      <c r="E29" s="51">
        <v>1060</v>
      </c>
      <c r="F29" s="15">
        <f t="shared" si="0"/>
        <v>1044.0999999999999</v>
      </c>
    </row>
    <row r="30" spans="2:6" ht="15.75" thickBot="1" x14ac:dyDescent="0.3">
      <c r="B30" s="12" t="s">
        <v>15</v>
      </c>
      <c r="C30" s="44">
        <v>1.0449999999999999</v>
      </c>
      <c r="D30" s="30" t="s">
        <v>55</v>
      </c>
      <c r="E30" s="51">
        <v>1060</v>
      </c>
      <c r="F30" s="15">
        <f t="shared" si="0"/>
        <v>1107.6999999999998</v>
      </c>
    </row>
    <row r="31" spans="2:6" ht="15.75" thickBot="1" x14ac:dyDescent="0.3">
      <c r="B31" s="12" t="s">
        <v>15</v>
      </c>
      <c r="C31" s="44">
        <v>1.085</v>
      </c>
      <c r="D31" s="30" t="s">
        <v>55</v>
      </c>
      <c r="E31" s="51">
        <v>1120</v>
      </c>
      <c r="F31" s="15">
        <f t="shared" si="0"/>
        <v>1215.2</v>
      </c>
    </row>
    <row r="32" spans="2:6" ht="15.75" thickBot="1" x14ac:dyDescent="0.3">
      <c r="B32" s="12" t="s">
        <v>15</v>
      </c>
      <c r="C32" s="44">
        <v>1.06</v>
      </c>
      <c r="D32" s="30" t="s">
        <v>55</v>
      </c>
      <c r="E32" s="51">
        <v>1060</v>
      </c>
      <c r="F32" s="15">
        <f>C32*E32</f>
        <v>1123.6000000000001</v>
      </c>
    </row>
    <row r="33" spans="1:6" ht="15.75" thickBot="1" x14ac:dyDescent="0.3">
      <c r="B33" s="12" t="s">
        <v>15</v>
      </c>
      <c r="C33" s="44">
        <v>0.97</v>
      </c>
      <c r="D33" s="30" t="s">
        <v>55</v>
      </c>
      <c r="E33" s="51">
        <v>1050</v>
      </c>
      <c r="F33" s="15">
        <f>C33*E33</f>
        <v>1018.5</v>
      </c>
    </row>
    <row r="34" spans="1:6" ht="15.75" thickBot="1" x14ac:dyDescent="0.3">
      <c r="B34" s="12" t="s">
        <v>15</v>
      </c>
      <c r="C34" s="44">
        <v>1.115</v>
      </c>
      <c r="D34" s="30" t="s">
        <v>55</v>
      </c>
      <c r="E34" s="51">
        <v>1120</v>
      </c>
      <c r="F34" s="15">
        <f t="shared" si="0"/>
        <v>1248.8</v>
      </c>
    </row>
    <row r="35" spans="1:6" ht="15.75" thickBot="1" x14ac:dyDescent="0.3">
      <c r="B35" s="12" t="s">
        <v>15</v>
      </c>
      <c r="C35" s="53">
        <v>1.0449999999999999</v>
      </c>
      <c r="D35" s="47" t="s">
        <v>55</v>
      </c>
      <c r="E35" s="54">
        <v>1060</v>
      </c>
      <c r="F35" s="15">
        <f t="shared" si="0"/>
        <v>1107.6999999999998</v>
      </c>
    </row>
    <row r="36" spans="1:6" ht="15.75" thickBot="1" x14ac:dyDescent="0.3">
      <c r="A36" s="28"/>
      <c r="B36" s="12" t="s">
        <v>15</v>
      </c>
      <c r="C36" s="34">
        <v>1.25</v>
      </c>
      <c r="D36" s="47" t="s">
        <v>55</v>
      </c>
      <c r="E36" s="55">
        <v>1180</v>
      </c>
      <c r="F36" s="15">
        <f t="shared" si="0"/>
        <v>1475</v>
      </c>
    </row>
    <row r="37" spans="1:6" ht="15.75" thickBot="1" x14ac:dyDescent="0.3">
      <c r="A37" s="28"/>
      <c r="B37" s="12" t="s">
        <v>15</v>
      </c>
      <c r="C37" s="34">
        <v>1.1000000000000001</v>
      </c>
      <c r="D37" s="47" t="s">
        <v>55</v>
      </c>
      <c r="E37" s="55">
        <v>1060</v>
      </c>
      <c r="F37" s="15">
        <f>C37*E37</f>
        <v>1166</v>
      </c>
    </row>
    <row r="38" spans="1:6" ht="15.75" thickBot="1" x14ac:dyDescent="0.3">
      <c r="A38" s="28"/>
      <c r="B38" s="12" t="s">
        <v>15</v>
      </c>
      <c r="C38" s="34">
        <v>1.115</v>
      </c>
      <c r="D38" s="47" t="s">
        <v>55</v>
      </c>
      <c r="E38" s="55">
        <v>1060</v>
      </c>
      <c r="F38" s="15">
        <f>C38*E38</f>
        <v>1181.9000000000001</v>
      </c>
    </row>
    <row r="39" spans="1:6" ht="24.75" thickBot="1" x14ac:dyDescent="0.3">
      <c r="A39" s="28"/>
      <c r="B39" s="33" t="s">
        <v>11</v>
      </c>
      <c r="C39" s="34">
        <v>1.21</v>
      </c>
      <c r="D39" s="30" t="s">
        <v>55</v>
      </c>
      <c r="E39" s="55">
        <v>1160</v>
      </c>
      <c r="F39" s="15">
        <f t="shared" si="0"/>
        <v>1403.6</v>
      </c>
    </row>
    <row r="40" spans="1:6" ht="15.75" thickBot="1" x14ac:dyDescent="0.3">
      <c r="B40" s="18"/>
      <c r="C40" s="45">
        <f>SUM(C18:C39)</f>
        <v>25.965</v>
      </c>
      <c r="D40" s="20"/>
      <c r="E40" s="21" t="s">
        <v>78</v>
      </c>
      <c r="F40" s="22">
        <f>SUM(F18:F39)</f>
        <v>28647.25</v>
      </c>
    </row>
    <row r="42" spans="1:6" x14ac:dyDescent="0.25">
      <c r="B42" s="23" t="s">
        <v>80</v>
      </c>
      <c r="C42" s="24"/>
      <c r="D42" s="24"/>
      <c r="E42" s="24"/>
    </row>
    <row r="43" spans="1:6" x14ac:dyDescent="0.25">
      <c r="B43" s="25"/>
      <c r="C43" s="24"/>
      <c r="D43" s="24"/>
      <c r="E43" s="24"/>
    </row>
    <row r="44" spans="1:6" x14ac:dyDescent="0.25">
      <c r="B44" s="26"/>
      <c r="C44" s="24"/>
      <c r="D44" s="26" t="s">
        <v>64</v>
      </c>
      <c r="E44" s="24"/>
    </row>
    <row r="45" spans="1:6" x14ac:dyDescent="0.25">
      <c r="B45" s="26"/>
      <c r="C45" s="24"/>
      <c r="D45" s="24"/>
      <c r="E45" s="24"/>
    </row>
    <row r="46" spans="1:6" x14ac:dyDescent="0.25">
      <c r="B46" s="26" t="s">
        <v>74</v>
      </c>
      <c r="C46" s="24"/>
      <c r="D46" s="26" t="s">
        <v>65</v>
      </c>
      <c r="E46" s="24"/>
    </row>
    <row r="47" spans="1:6" x14ac:dyDescent="0.25">
      <c r="B47" s="26"/>
      <c r="C47" s="24"/>
      <c r="D47" s="26" t="s">
        <v>66</v>
      </c>
      <c r="E47" s="24"/>
    </row>
    <row r="49" spans="10:11" ht="18.75" customHeight="1" x14ac:dyDescent="0.25"/>
    <row r="51" spans="10:11" ht="9" customHeight="1" x14ac:dyDescent="0.25"/>
    <row r="52" spans="10:11" hidden="1" x14ac:dyDescent="0.25"/>
    <row r="53" spans="10:11" x14ac:dyDescent="0.25">
      <c r="J53" s="73"/>
      <c r="K53" s="73"/>
    </row>
    <row r="75" spans="2:11" x14ac:dyDescent="0.25">
      <c r="B75" s="73"/>
      <c r="C75" s="73"/>
      <c r="D75" s="73"/>
      <c r="E75" s="73"/>
      <c r="F75" s="73"/>
    </row>
    <row r="76" spans="2:11" ht="102.75" customHeight="1" x14ac:dyDescent="0.25">
      <c r="B76" s="73"/>
      <c r="C76" s="73"/>
      <c r="D76" s="73"/>
      <c r="E76" s="73"/>
      <c r="F76" s="73"/>
    </row>
    <row r="77" spans="2:11" x14ac:dyDescent="0.25">
      <c r="B77" s="73"/>
      <c r="C77" s="73"/>
      <c r="D77" s="73"/>
      <c r="E77" s="73"/>
      <c r="F77" s="73"/>
    </row>
    <row r="78" spans="2:11" ht="69.75" customHeight="1" x14ac:dyDescent="0.25">
      <c r="B78" s="73"/>
      <c r="C78" s="73"/>
      <c r="D78" s="73"/>
      <c r="E78" s="73"/>
      <c r="F78" s="73"/>
    </row>
    <row r="79" spans="2:11" x14ac:dyDescent="0.25">
      <c r="J79" s="73"/>
      <c r="K79" s="73"/>
    </row>
  </sheetData>
  <protectedRanges>
    <protectedRange algorithmName="SHA-512" hashValue="poroQ6AOCp+PrXUU2E1NErYIFQH5Vb3rJFa5nEtjHcNd2xSuKk5xyHjxyYSj0ALpLP6WOSx/b1qjw/2zF/GuYQ==" saltValue="BNE7NYaoREnSby9ppJtTLw==" spinCount="100000" sqref="C15 C55 C81" name="Rango3"/>
    <protectedRange algorithmName="SHA-512" hashValue="tUGEn7omUASg2YnQUJFND+3qd4CF5BwoMj/cO/PA5wQF78Nm09A5xeFuei1S8jh1bhgAFdQbH1BhWbmB36F/gA==" saltValue="u/5i146fT7pcplAmbBqlww==" spinCount="100000" sqref="F58:F61 F84:F105 F18:F40" name="Rango2"/>
    <protectedRange algorithmName="SHA-512" hashValue="Fy74vzPqavg1HALyDiBARtZGduGibbQdzXJe+BveEjcDaIaSKVQYGdBygGaDWkJoeeVlREXXbIlDQeT5XgK+1A==" saltValue="3DEii5LrexWdXZ4VPlmQPg==" spinCount="100000" sqref="I13:J16 J53:K56 J79:K82" name="Rango1"/>
  </protectedRanges>
  <mergeCells count="7">
    <mergeCell ref="J79:K79"/>
    <mergeCell ref="B9:F10"/>
    <mergeCell ref="B11:F12"/>
    <mergeCell ref="I13:J13"/>
    <mergeCell ref="J53:K53"/>
    <mergeCell ref="B75:F76"/>
    <mergeCell ref="B77:F78"/>
  </mergeCells>
  <dataValidations count="2">
    <dataValidation type="list" allowBlank="1" showInputMessage="1" showErrorMessage="1" sqref="C14 C80" xr:uid="{850E9CF5-E235-4F27-BB3E-7CF97DC36AFD}">
      <formula1>$D$14:$F$14</formula1>
    </dataValidation>
    <dataValidation type="list" allowBlank="1" showInputMessage="1" showErrorMessage="1" sqref="B72" xr:uid="{6BA8D2FF-36D3-4DB9-9135-E7726ABACC68}">
      <formula1>$B$6:$B$7</formula1>
    </dataValidation>
  </dataValidations>
  <pageMargins left="0.23622047244094491" right="0.23622047244094491" top="0.94488188976377963" bottom="0.74803149606299213" header="0.31496062992125984" footer="0.31496062992125984"/>
  <pageSetup scale="86" fitToHeight="0" orientation="portrait" r:id="rId1"/>
  <rowBreaks count="2" manualBreakCount="2">
    <brk id="48" min="1" max="5" man="1"/>
    <brk id="71" max="5" man="1"/>
  </rowBreaks>
  <colBreaks count="2" manualBreakCount="2">
    <brk id="1" min="47" max="83" man="1"/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98A17-8D39-4335-B6BA-215729757547}">
  <sheetPr>
    <pageSetUpPr fitToPage="1"/>
  </sheetPr>
  <dimension ref="B6:K59"/>
  <sheetViews>
    <sheetView topLeftCell="A3" zoomScaleNormal="100" workbookViewId="0">
      <selection activeCell="B19" sqref="B19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44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5" t="s">
        <v>84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$F$20</f>
        <v>26562</v>
      </c>
    </row>
    <row r="15" spans="2:10" x14ac:dyDescent="0.25">
      <c r="B15" t="s">
        <v>52</v>
      </c>
      <c r="C15" s="8">
        <f>+F20*J16</f>
        <v>47.008536527142596</v>
      </c>
      <c r="D15" s="52" t="s">
        <v>77</v>
      </c>
      <c r="I15" t="s">
        <v>54</v>
      </c>
      <c r="J15">
        <f>+C20</f>
        <v>25.23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15.75" thickBot="1" x14ac:dyDescent="0.3">
      <c r="B18" s="12" t="s">
        <v>15</v>
      </c>
      <c r="C18" s="17">
        <v>18.18</v>
      </c>
      <c r="D18" s="13" t="s">
        <v>55</v>
      </c>
      <c r="E18" s="51">
        <v>1050</v>
      </c>
      <c r="F18" s="15">
        <f>C18*E18</f>
        <v>19089</v>
      </c>
    </row>
    <row r="19" spans="2:6" ht="15.75" thickBot="1" x14ac:dyDescent="0.3">
      <c r="B19" s="12" t="s">
        <v>15</v>
      </c>
      <c r="C19" s="17">
        <v>7.05</v>
      </c>
      <c r="D19" s="13" t="s">
        <v>55</v>
      </c>
      <c r="E19" s="51">
        <v>1060</v>
      </c>
      <c r="F19" s="15">
        <f>C19*E19</f>
        <v>7473</v>
      </c>
    </row>
    <row r="20" spans="2:6" ht="15.75" thickBot="1" x14ac:dyDescent="0.3">
      <c r="B20" s="18"/>
      <c r="C20" s="45">
        <f>SUM(C18:C19)</f>
        <v>25.23</v>
      </c>
      <c r="D20" s="20"/>
      <c r="E20" s="21" t="s">
        <v>78</v>
      </c>
      <c r="F20" s="22">
        <f>SUM(F18:F19)</f>
        <v>26562</v>
      </c>
    </row>
    <row r="22" spans="2:6" x14ac:dyDescent="0.25">
      <c r="B22" s="23" t="s">
        <v>80</v>
      </c>
      <c r="C22" s="24"/>
      <c r="D22" s="24"/>
      <c r="E22" s="24"/>
    </row>
    <row r="23" spans="2:6" x14ac:dyDescent="0.25">
      <c r="B23" s="25"/>
      <c r="C23" s="24"/>
      <c r="D23" s="24"/>
      <c r="E23" s="24"/>
    </row>
    <row r="24" spans="2:6" x14ac:dyDescent="0.25">
      <c r="B24" s="26"/>
      <c r="C24" s="24"/>
      <c r="D24" s="26" t="s">
        <v>64</v>
      </c>
      <c r="E24" s="24"/>
    </row>
    <row r="25" spans="2:6" x14ac:dyDescent="0.25">
      <c r="B25" s="26"/>
      <c r="C25" s="24"/>
      <c r="D25" s="24"/>
      <c r="E25" s="24"/>
    </row>
    <row r="26" spans="2:6" x14ac:dyDescent="0.25">
      <c r="B26" s="26" t="s">
        <v>74</v>
      </c>
      <c r="C26" s="24"/>
      <c r="D26" s="26" t="s">
        <v>65</v>
      </c>
      <c r="E26" s="24"/>
    </row>
    <row r="27" spans="2:6" x14ac:dyDescent="0.25">
      <c r="B27" s="26"/>
      <c r="C27" s="24"/>
      <c r="D27" s="26" t="s">
        <v>66</v>
      </c>
      <c r="E27" s="24"/>
    </row>
    <row r="29" spans="2:6" ht="18.75" customHeight="1" x14ac:dyDescent="0.25"/>
    <row r="31" spans="2:6" ht="9" customHeight="1" x14ac:dyDescent="0.25"/>
    <row r="32" spans="2:6" hidden="1" x14ac:dyDescent="0.25"/>
    <row r="33" spans="10:11" x14ac:dyDescent="0.25">
      <c r="J33" s="73"/>
      <c r="K33" s="73"/>
    </row>
    <row r="55" spans="2:11" x14ac:dyDescent="0.25">
      <c r="B55" s="73"/>
      <c r="C55" s="73"/>
      <c r="D55" s="73"/>
      <c r="E55" s="73"/>
      <c r="F55" s="73"/>
    </row>
    <row r="56" spans="2:11" ht="102.75" customHeight="1" x14ac:dyDescent="0.25">
      <c r="B56" s="73"/>
      <c r="C56" s="73"/>
      <c r="D56" s="73"/>
      <c r="E56" s="73"/>
      <c r="F56" s="73"/>
    </row>
    <row r="57" spans="2:11" x14ac:dyDescent="0.25">
      <c r="B57" s="73"/>
      <c r="C57" s="73"/>
      <c r="D57" s="73"/>
      <c r="E57" s="73"/>
      <c r="F57" s="73"/>
    </row>
    <row r="58" spans="2:11" ht="69.75" customHeight="1" x14ac:dyDescent="0.25">
      <c r="B58" s="73"/>
      <c r="C58" s="73"/>
      <c r="D58" s="73"/>
      <c r="E58" s="73"/>
      <c r="F58" s="73"/>
    </row>
    <row r="59" spans="2:11" x14ac:dyDescent="0.25">
      <c r="J59" s="73"/>
      <c r="K59" s="73"/>
    </row>
  </sheetData>
  <protectedRanges>
    <protectedRange algorithmName="SHA-512" hashValue="poroQ6AOCp+PrXUU2E1NErYIFQH5Vb3rJFa5nEtjHcNd2xSuKk5xyHjxyYSj0ALpLP6WOSx/b1qjw/2zF/GuYQ==" saltValue="BNE7NYaoREnSby9ppJtTLw==" spinCount="100000" sqref="C15 C35 C61" name="Rango3"/>
    <protectedRange algorithmName="SHA-512" hashValue="tUGEn7omUASg2YnQUJFND+3qd4CF5BwoMj/cO/PA5wQF78Nm09A5xeFuei1S8jh1bhgAFdQbH1BhWbmB36F/gA==" saltValue="u/5i146fT7pcplAmbBqlww==" spinCount="100000" sqref="F38:F41 F64:F85 F18:F20" name="Rango2"/>
    <protectedRange algorithmName="SHA-512" hashValue="Fy74vzPqavg1HALyDiBARtZGduGibbQdzXJe+BveEjcDaIaSKVQYGdBygGaDWkJoeeVlREXXbIlDQeT5XgK+1A==" saltValue="3DEii5LrexWdXZ4VPlmQPg==" spinCount="100000" sqref="I13:J16 J33:K36 J59:K62" name="Rango1"/>
  </protectedRanges>
  <mergeCells count="7">
    <mergeCell ref="J59:K59"/>
    <mergeCell ref="B9:F10"/>
    <mergeCell ref="B11:F12"/>
    <mergeCell ref="I13:J13"/>
    <mergeCell ref="J33:K33"/>
    <mergeCell ref="B55:F56"/>
    <mergeCell ref="B57:F58"/>
  </mergeCells>
  <dataValidations count="2">
    <dataValidation type="list" allowBlank="1" showInputMessage="1" showErrorMessage="1" sqref="B52" xr:uid="{ED3C78E9-3B4B-4A98-8658-5DCB8C628061}">
      <formula1>$B$6:$B$7</formula1>
    </dataValidation>
    <dataValidation type="list" allowBlank="1" showInputMessage="1" showErrorMessage="1" sqref="C14 C60" xr:uid="{2823B0FF-1462-43EF-827E-5793DB835FB7}">
      <formula1>$D$14:$F$14</formula1>
    </dataValidation>
  </dataValidations>
  <pageMargins left="0.23622047244094491" right="0.23622047244094491" top="0.94488188976377963" bottom="0.74803149606299213" header="0.31496062992125984" footer="0.31496062992125984"/>
  <pageSetup fitToHeight="0" orientation="portrait" r:id="rId1"/>
  <rowBreaks count="2" manualBreakCount="2">
    <brk id="28" min="1" max="5" man="1"/>
    <brk id="51" max="5" man="1"/>
  </rowBreaks>
  <colBreaks count="2" manualBreakCount="2">
    <brk id="1" min="27" max="63" man="1"/>
    <brk id="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93FE-673F-4415-AB39-413FA198EDD8}">
  <sheetPr>
    <pageSetUpPr fitToPage="1"/>
  </sheetPr>
  <dimension ref="B6:K81"/>
  <sheetViews>
    <sheetView topLeftCell="A12" zoomScaleNormal="100" workbookViewId="0">
      <selection activeCell="B41" sqref="B41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44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5" t="s">
        <v>85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$F$42</f>
        <v>26861.05</v>
      </c>
    </row>
    <row r="15" spans="2:10" x14ac:dyDescent="0.25">
      <c r="B15" t="s">
        <v>52</v>
      </c>
      <c r="C15" s="8">
        <f>+F42*J16</f>
        <v>47.537785184941029</v>
      </c>
      <c r="D15" s="52" t="s">
        <v>77</v>
      </c>
      <c r="I15" t="s">
        <v>54</v>
      </c>
      <c r="J15">
        <f>+C42</f>
        <v>24.895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15.75" thickBot="1" x14ac:dyDescent="0.3">
      <c r="B18" s="12" t="s">
        <v>15</v>
      </c>
      <c r="C18" s="17">
        <v>0.91500000000000004</v>
      </c>
      <c r="D18" s="13" t="s">
        <v>55</v>
      </c>
      <c r="E18" s="51">
        <v>1160</v>
      </c>
      <c r="F18" s="15">
        <f>+C18*E18</f>
        <v>1061.4000000000001</v>
      </c>
    </row>
    <row r="19" spans="2:6" ht="15.75" thickBot="1" x14ac:dyDescent="0.3">
      <c r="B19" s="12" t="s">
        <v>15</v>
      </c>
      <c r="C19" s="17">
        <v>1.135</v>
      </c>
      <c r="D19" s="13" t="s">
        <v>55</v>
      </c>
      <c r="E19" s="51">
        <v>1080</v>
      </c>
      <c r="F19" s="15">
        <f t="shared" ref="F19:F41" si="0">+C19*E19</f>
        <v>1225.8</v>
      </c>
    </row>
    <row r="20" spans="2:6" ht="15.75" thickBot="1" x14ac:dyDescent="0.3">
      <c r="B20" s="12" t="s">
        <v>15</v>
      </c>
      <c r="C20" s="34">
        <v>1.0649999999999999</v>
      </c>
      <c r="D20" s="30" t="s">
        <v>55</v>
      </c>
      <c r="E20" s="55">
        <v>1080</v>
      </c>
      <c r="F20" s="15">
        <f t="shared" si="0"/>
        <v>1150.2</v>
      </c>
    </row>
    <row r="21" spans="2:6" ht="15.75" thickBot="1" x14ac:dyDescent="0.3">
      <c r="B21" s="12" t="s">
        <v>15</v>
      </c>
      <c r="C21" s="34">
        <v>1.01</v>
      </c>
      <c r="D21" s="30" t="s">
        <v>55</v>
      </c>
      <c r="E21" s="55">
        <v>1060</v>
      </c>
      <c r="F21" s="15">
        <f t="shared" si="0"/>
        <v>1070.5999999999999</v>
      </c>
    </row>
    <row r="22" spans="2:6" ht="24.75" thickBot="1" x14ac:dyDescent="0.3">
      <c r="B22" s="33" t="s">
        <v>11</v>
      </c>
      <c r="C22" s="34">
        <v>1.105</v>
      </c>
      <c r="D22" s="30" t="s">
        <v>55</v>
      </c>
      <c r="E22" s="51">
        <v>1320</v>
      </c>
      <c r="F22" s="15">
        <f t="shared" si="0"/>
        <v>1458.6</v>
      </c>
    </row>
    <row r="23" spans="2:6" ht="15.75" thickBot="1" x14ac:dyDescent="0.3">
      <c r="B23" s="12" t="s">
        <v>15</v>
      </c>
      <c r="C23" s="34">
        <v>1.01</v>
      </c>
      <c r="D23" s="30" t="s">
        <v>55</v>
      </c>
      <c r="E23" s="51">
        <v>1140</v>
      </c>
      <c r="F23" s="15">
        <f t="shared" si="0"/>
        <v>1151.4000000000001</v>
      </c>
    </row>
    <row r="24" spans="2:6" ht="15.75" thickBot="1" x14ac:dyDescent="0.3">
      <c r="B24" s="12" t="s">
        <v>15</v>
      </c>
      <c r="C24" s="44">
        <v>1.1100000000000001</v>
      </c>
      <c r="D24" s="30" t="s">
        <v>55</v>
      </c>
      <c r="E24" s="51">
        <v>1020</v>
      </c>
      <c r="F24" s="15">
        <f t="shared" si="0"/>
        <v>1132.2</v>
      </c>
    </row>
    <row r="25" spans="2:6" ht="15.75" thickBot="1" x14ac:dyDescent="0.3">
      <c r="B25" s="12" t="s">
        <v>15</v>
      </c>
      <c r="C25" s="44">
        <v>1.085</v>
      </c>
      <c r="D25" s="30" t="s">
        <v>55</v>
      </c>
      <c r="E25" s="51">
        <v>1020</v>
      </c>
      <c r="F25" s="15">
        <f t="shared" si="0"/>
        <v>1106.7</v>
      </c>
    </row>
    <row r="26" spans="2:6" ht="15.75" thickBot="1" x14ac:dyDescent="0.3">
      <c r="B26" s="12" t="s">
        <v>15</v>
      </c>
      <c r="C26" s="34">
        <v>1.0049999999999999</v>
      </c>
      <c r="D26" s="30" t="s">
        <v>55</v>
      </c>
      <c r="E26" s="51">
        <v>1140</v>
      </c>
      <c r="F26" s="15">
        <f t="shared" si="0"/>
        <v>1145.6999999999998</v>
      </c>
    </row>
    <row r="27" spans="2:6" ht="15.75" thickBot="1" x14ac:dyDescent="0.3">
      <c r="B27" s="12" t="s">
        <v>15</v>
      </c>
      <c r="C27" s="44">
        <v>0.995</v>
      </c>
      <c r="D27" s="30" t="s">
        <v>55</v>
      </c>
      <c r="E27" s="51">
        <v>1020</v>
      </c>
      <c r="F27" s="15">
        <f t="shared" si="0"/>
        <v>1014.9</v>
      </c>
    </row>
    <row r="28" spans="2:6" ht="15.75" thickBot="1" x14ac:dyDescent="0.3">
      <c r="B28" s="12" t="s">
        <v>15</v>
      </c>
      <c r="C28" s="44">
        <v>1.06</v>
      </c>
      <c r="D28" s="30" t="s">
        <v>55</v>
      </c>
      <c r="E28" s="51">
        <v>1140</v>
      </c>
      <c r="F28" s="15">
        <f t="shared" si="0"/>
        <v>1208.4000000000001</v>
      </c>
    </row>
    <row r="29" spans="2:6" ht="15.75" thickBot="1" x14ac:dyDescent="0.3">
      <c r="B29" s="12" t="s">
        <v>15</v>
      </c>
      <c r="C29" s="44">
        <v>1.0900000000000001</v>
      </c>
      <c r="D29" s="30" t="s">
        <v>55</v>
      </c>
      <c r="E29" s="51">
        <v>1080</v>
      </c>
      <c r="F29" s="15">
        <f t="shared" si="0"/>
        <v>1177.2</v>
      </c>
    </row>
    <row r="30" spans="2:6" ht="15.75" thickBot="1" x14ac:dyDescent="0.3">
      <c r="B30" s="12" t="s">
        <v>15</v>
      </c>
      <c r="C30" s="44">
        <v>0.97499999999999998</v>
      </c>
      <c r="D30" s="30" t="s">
        <v>55</v>
      </c>
      <c r="E30" s="51">
        <v>1040</v>
      </c>
      <c r="F30" s="15">
        <f t="shared" si="0"/>
        <v>1014</v>
      </c>
    </row>
    <row r="31" spans="2:6" ht="15.75" thickBot="1" x14ac:dyDescent="0.3">
      <c r="B31" s="12" t="s">
        <v>15</v>
      </c>
      <c r="C31" s="44">
        <v>1.0049999999999999</v>
      </c>
      <c r="D31" s="30" t="s">
        <v>55</v>
      </c>
      <c r="E31" s="51">
        <v>1020</v>
      </c>
      <c r="F31" s="15">
        <f t="shared" si="0"/>
        <v>1025.0999999999999</v>
      </c>
    </row>
    <row r="32" spans="2:6" ht="15.75" thickBot="1" x14ac:dyDescent="0.3">
      <c r="B32" s="12" t="s">
        <v>15</v>
      </c>
      <c r="C32" s="44">
        <v>1.04</v>
      </c>
      <c r="D32" s="30" t="s">
        <v>55</v>
      </c>
      <c r="E32" s="51">
        <v>1020</v>
      </c>
      <c r="F32" s="15">
        <f t="shared" si="0"/>
        <v>1060.8</v>
      </c>
    </row>
    <row r="33" spans="2:6" ht="15.75" thickBot="1" x14ac:dyDescent="0.3">
      <c r="B33" s="12" t="s">
        <v>15</v>
      </c>
      <c r="C33" s="44">
        <v>1</v>
      </c>
      <c r="D33" s="30" t="s">
        <v>55</v>
      </c>
      <c r="E33" s="51">
        <v>1020</v>
      </c>
      <c r="F33" s="15">
        <f t="shared" si="0"/>
        <v>1020</v>
      </c>
    </row>
    <row r="34" spans="2:6" ht="15.75" thickBot="1" x14ac:dyDescent="0.3">
      <c r="B34" s="12" t="s">
        <v>15</v>
      </c>
      <c r="C34" s="44">
        <v>0.91</v>
      </c>
      <c r="D34" s="30" t="s">
        <v>55</v>
      </c>
      <c r="E34" s="51">
        <v>1160</v>
      </c>
      <c r="F34" s="15">
        <f t="shared" si="0"/>
        <v>1055.6000000000001</v>
      </c>
    </row>
    <row r="35" spans="2:6" ht="15.75" thickBot="1" x14ac:dyDescent="0.3">
      <c r="B35" s="12" t="s">
        <v>15</v>
      </c>
      <c r="C35" s="44">
        <v>1.0349999999999999</v>
      </c>
      <c r="D35" s="30" t="s">
        <v>55</v>
      </c>
      <c r="E35" s="51">
        <v>1080</v>
      </c>
      <c r="F35" s="15">
        <f t="shared" si="0"/>
        <v>1117.8</v>
      </c>
    </row>
    <row r="36" spans="2:6" ht="15.75" thickBot="1" x14ac:dyDescent="0.3">
      <c r="B36" s="12" t="s">
        <v>15</v>
      </c>
      <c r="C36" s="34">
        <v>1.0149999999999999</v>
      </c>
      <c r="D36" s="30" t="s">
        <v>55</v>
      </c>
      <c r="E36" s="51">
        <v>1020</v>
      </c>
      <c r="F36" s="15">
        <f t="shared" si="0"/>
        <v>1035.3</v>
      </c>
    </row>
    <row r="37" spans="2:6" ht="15.75" thickBot="1" x14ac:dyDescent="0.3">
      <c r="B37" s="12" t="s">
        <v>15</v>
      </c>
      <c r="C37" s="44">
        <v>1.0549999999999999</v>
      </c>
      <c r="D37" s="30" t="s">
        <v>55</v>
      </c>
      <c r="E37" s="51">
        <v>1020</v>
      </c>
      <c r="F37" s="15">
        <f t="shared" si="0"/>
        <v>1076.0999999999999</v>
      </c>
    </row>
    <row r="38" spans="2:6" ht="15.75" thickBot="1" x14ac:dyDescent="0.3">
      <c r="B38" s="12" t="s">
        <v>15</v>
      </c>
      <c r="C38" s="44">
        <v>1.1100000000000001</v>
      </c>
      <c r="D38" s="30" t="s">
        <v>55</v>
      </c>
      <c r="E38" s="51">
        <v>1020</v>
      </c>
      <c r="F38" s="15">
        <f t="shared" si="0"/>
        <v>1132.2</v>
      </c>
    </row>
    <row r="39" spans="2:6" ht="15.75" thickBot="1" x14ac:dyDescent="0.3">
      <c r="B39" s="12" t="s">
        <v>15</v>
      </c>
      <c r="C39" s="44">
        <v>1.125</v>
      </c>
      <c r="D39" s="30" t="s">
        <v>55</v>
      </c>
      <c r="E39" s="51">
        <v>1000</v>
      </c>
      <c r="F39" s="15">
        <f t="shared" si="0"/>
        <v>1125</v>
      </c>
    </row>
    <row r="40" spans="2:6" ht="15.75" thickBot="1" x14ac:dyDescent="0.3">
      <c r="B40" s="12" t="s">
        <v>15</v>
      </c>
      <c r="C40" s="44">
        <v>1.0149999999999999</v>
      </c>
      <c r="D40" s="30" t="s">
        <v>55</v>
      </c>
      <c r="E40" s="51">
        <v>1020</v>
      </c>
      <c r="F40" s="15">
        <f t="shared" si="0"/>
        <v>1035.3</v>
      </c>
    </row>
    <row r="41" spans="2:6" ht="24.75" thickBot="1" x14ac:dyDescent="0.3">
      <c r="B41" s="33" t="s">
        <v>11</v>
      </c>
      <c r="C41" s="44">
        <v>1.0249999999999999</v>
      </c>
      <c r="D41" s="30" t="s">
        <v>55</v>
      </c>
      <c r="E41" s="51">
        <v>1230</v>
      </c>
      <c r="F41" s="15">
        <f t="shared" si="0"/>
        <v>1260.75</v>
      </c>
    </row>
    <row r="42" spans="2:6" ht="15.75" thickBot="1" x14ac:dyDescent="0.3">
      <c r="C42" s="45">
        <f>SUM(C18:C41)</f>
        <v>24.895</v>
      </c>
      <c r="D42" s="20"/>
      <c r="E42" s="21" t="s">
        <v>78</v>
      </c>
      <c r="F42" s="22">
        <f>SUM(F18:F41)</f>
        <v>26861.05</v>
      </c>
    </row>
    <row r="44" spans="2:6" x14ac:dyDescent="0.25">
      <c r="B44" s="23" t="s">
        <v>80</v>
      </c>
      <c r="C44" s="24"/>
      <c r="D44" s="24"/>
      <c r="E44" s="24"/>
    </row>
    <row r="45" spans="2:6" x14ac:dyDescent="0.25">
      <c r="B45" s="25"/>
      <c r="C45" s="24"/>
      <c r="D45" s="24"/>
      <c r="E45" s="24"/>
    </row>
    <row r="46" spans="2:6" x14ac:dyDescent="0.25">
      <c r="B46" s="26"/>
      <c r="C46" s="24"/>
      <c r="D46" s="26" t="s">
        <v>64</v>
      </c>
      <c r="E46" s="24"/>
    </row>
    <row r="47" spans="2:6" x14ac:dyDescent="0.25">
      <c r="B47" s="26"/>
      <c r="C47" s="24"/>
      <c r="D47" s="24"/>
      <c r="E47" s="24"/>
    </row>
    <row r="48" spans="2:6" x14ac:dyDescent="0.25">
      <c r="B48" s="26" t="s">
        <v>74</v>
      </c>
      <c r="C48" s="24"/>
      <c r="D48" s="26" t="s">
        <v>65</v>
      </c>
      <c r="E48" s="24"/>
    </row>
    <row r="49" spans="2:11" x14ac:dyDescent="0.25">
      <c r="B49" s="26"/>
      <c r="C49" s="24"/>
      <c r="D49" s="26" t="s">
        <v>66</v>
      </c>
      <c r="E49" s="24"/>
    </row>
    <row r="51" spans="2:11" ht="18.75" customHeight="1" x14ac:dyDescent="0.25"/>
    <row r="53" spans="2:11" ht="9" customHeight="1" x14ac:dyDescent="0.25"/>
    <row r="54" spans="2:11" hidden="1" x14ac:dyDescent="0.25"/>
    <row r="55" spans="2:11" x14ac:dyDescent="0.25">
      <c r="J55" s="73"/>
      <c r="K55" s="73"/>
    </row>
    <row r="77" spans="2:6" x14ac:dyDescent="0.25">
      <c r="B77" s="73"/>
      <c r="C77" s="73"/>
      <c r="D77" s="73"/>
      <c r="E77" s="73"/>
      <c r="F77" s="73"/>
    </row>
    <row r="78" spans="2:6" ht="102.75" customHeight="1" x14ac:dyDescent="0.25">
      <c r="B78" s="73"/>
      <c r="C78" s="73"/>
      <c r="D78" s="73"/>
      <c r="E78" s="73"/>
      <c r="F78" s="73"/>
    </row>
    <row r="79" spans="2:6" x14ac:dyDescent="0.25">
      <c r="B79" s="73"/>
      <c r="C79" s="73"/>
      <c r="D79" s="73"/>
      <c r="E79" s="73"/>
      <c r="F79" s="73"/>
    </row>
    <row r="80" spans="2:6" ht="69.75" customHeight="1" x14ac:dyDescent="0.25">
      <c r="B80" s="73"/>
      <c r="C80" s="73"/>
      <c r="D80" s="73"/>
      <c r="E80" s="73"/>
      <c r="F80" s="73"/>
    </row>
    <row r="81" spans="10:11" x14ac:dyDescent="0.25">
      <c r="J81" s="73"/>
      <c r="K81" s="73"/>
    </row>
  </sheetData>
  <protectedRanges>
    <protectedRange algorithmName="SHA-512" hashValue="poroQ6AOCp+PrXUU2E1NErYIFQH5Vb3rJFa5nEtjHcNd2xSuKk5xyHjxyYSj0ALpLP6WOSx/b1qjw/2zF/GuYQ==" saltValue="BNE7NYaoREnSby9ppJtTLw==" spinCount="100000" sqref="C15 C57 C83" name="Rango3"/>
    <protectedRange algorithmName="SHA-512" hashValue="tUGEn7omUASg2YnQUJFND+3qd4CF5BwoMj/cO/PA5wQF78Nm09A5xeFuei1S8jh1bhgAFdQbH1BhWbmB36F/gA==" saltValue="u/5i146fT7pcplAmbBqlww==" spinCount="100000" sqref="F60:F63 F86:F107 F18:F42" name="Rango2"/>
    <protectedRange algorithmName="SHA-512" hashValue="Fy74vzPqavg1HALyDiBARtZGduGibbQdzXJe+BveEjcDaIaSKVQYGdBygGaDWkJoeeVlREXXbIlDQeT5XgK+1A==" saltValue="3DEii5LrexWdXZ4VPlmQPg==" spinCount="100000" sqref="I13:J16 J55:K58 J81:K84" name="Rango1"/>
  </protectedRanges>
  <mergeCells count="7">
    <mergeCell ref="J81:K81"/>
    <mergeCell ref="B9:F10"/>
    <mergeCell ref="B11:F12"/>
    <mergeCell ref="I13:J13"/>
    <mergeCell ref="J55:K55"/>
    <mergeCell ref="B77:F78"/>
    <mergeCell ref="B79:F80"/>
  </mergeCells>
  <dataValidations count="2">
    <dataValidation type="list" allowBlank="1" showInputMessage="1" showErrorMessage="1" sqref="C14 C82" xr:uid="{EF064BCC-A056-4AEA-8198-B98469BCE9E4}">
      <formula1>$D$14:$F$14</formula1>
    </dataValidation>
    <dataValidation type="list" allowBlank="1" showInputMessage="1" showErrorMessage="1" sqref="B74" xr:uid="{EE5AFA62-D54B-4D31-B668-6ED74A589B0C}">
      <formula1>$B$6:$B$7</formula1>
    </dataValidation>
  </dataValidations>
  <pageMargins left="0.23622047244094491" right="0.23622047244094491" top="0.94488188976377963" bottom="0.74803149606299213" header="0.31496062992125984" footer="0.31496062992125984"/>
  <pageSetup scale="86" fitToHeight="0" orientation="portrait" r:id="rId1"/>
  <rowBreaks count="3" manualBreakCount="3">
    <brk id="42" min="1" max="5" man="1"/>
    <brk id="50" min="1" max="5" man="1"/>
    <brk id="73" max="5" man="1"/>
  </rowBreaks>
  <colBreaks count="2" manualBreakCount="2">
    <brk id="1" min="49" max="85" man="1"/>
    <brk id="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B4DC-1315-43F1-BE59-83FE86068C22}">
  <sheetPr>
    <pageSetUpPr fitToPage="1"/>
  </sheetPr>
  <dimension ref="B6:K63"/>
  <sheetViews>
    <sheetView topLeftCell="A9" zoomScaleNormal="100" workbookViewId="0">
      <selection activeCell="B18" sqref="B18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44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5" t="s">
        <v>86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$F$24</f>
        <v>25386.48</v>
      </c>
    </row>
    <row r="15" spans="2:10" x14ac:dyDescent="0.25">
      <c r="B15" t="s">
        <v>52</v>
      </c>
      <c r="C15" s="8">
        <f>+F24*J16</f>
        <v>44.928140666198892</v>
      </c>
      <c r="D15" s="52" t="s">
        <v>77</v>
      </c>
      <c r="I15" t="s">
        <v>54</v>
      </c>
      <c r="J15">
        <f>+C24</f>
        <v>24.629000000000001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15.75" thickBot="1" x14ac:dyDescent="0.3">
      <c r="B18" s="12" t="s">
        <v>15</v>
      </c>
      <c r="C18" s="17">
        <v>1.0649999999999999</v>
      </c>
      <c r="D18" s="13" t="s">
        <v>55</v>
      </c>
      <c r="E18" s="51">
        <v>1100</v>
      </c>
      <c r="F18" s="15">
        <f>+C18*E18</f>
        <v>1171.5</v>
      </c>
    </row>
    <row r="19" spans="2:6" ht="15.75" thickBot="1" x14ac:dyDescent="0.3">
      <c r="B19" s="12" t="s">
        <v>15</v>
      </c>
      <c r="C19" s="17">
        <v>2.82</v>
      </c>
      <c r="D19" s="13" t="s">
        <v>55</v>
      </c>
      <c r="E19" s="51">
        <v>1060</v>
      </c>
      <c r="F19" s="15">
        <f t="shared" ref="F19:F22" si="0">+C19*E19</f>
        <v>2989.2</v>
      </c>
    </row>
    <row r="20" spans="2:6" ht="15.75" thickBot="1" x14ac:dyDescent="0.3">
      <c r="B20" s="12" t="s">
        <v>15</v>
      </c>
      <c r="C20" s="34">
        <v>7.87</v>
      </c>
      <c r="D20" s="30" t="s">
        <v>55</v>
      </c>
      <c r="E20" s="55">
        <v>1050</v>
      </c>
      <c r="F20" s="15">
        <f t="shared" si="0"/>
        <v>8263.5</v>
      </c>
    </row>
    <row r="21" spans="2:6" ht="15.75" thickBot="1" x14ac:dyDescent="0.3">
      <c r="B21" s="12" t="s">
        <v>15</v>
      </c>
      <c r="C21" s="34">
        <v>2.214</v>
      </c>
      <c r="D21" s="30" t="s">
        <v>55</v>
      </c>
      <c r="E21" s="55">
        <v>1020</v>
      </c>
      <c r="F21" s="15">
        <f t="shared" si="0"/>
        <v>2258.2799999999997</v>
      </c>
    </row>
    <row r="22" spans="2:6" ht="15.75" thickBot="1" x14ac:dyDescent="0.3">
      <c r="B22" s="12" t="s">
        <v>15</v>
      </c>
      <c r="C22" s="34">
        <v>2.2000000000000002</v>
      </c>
      <c r="D22" s="30" t="s">
        <v>55</v>
      </c>
      <c r="E22" s="51">
        <v>1020</v>
      </c>
      <c r="F22" s="15">
        <f t="shared" si="0"/>
        <v>2244</v>
      </c>
    </row>
    <row r="23" spans="2:6" ht="15.75" thickBot="1" x14ac:dyDescent="0.3">
      <c r="B23" s="12" t="s">
        <v>15</v>
      </c>
      <c r="C23" s="34">
        <v>8.4600000000000009</v>
      </c>
      <c r="D23" s="30" t="s">
        <v>55</v>
      </c>
      <c r="E23" s="56">
        <v>1</v>
      </c>
      <c r="F23" s="57">
        <v>8460</v>
      </c>
    </row>
    <row r="24" spans="2:6" ht="15.75" thickBot="1" x14ac:dyDescent="0.3">
      <c r="C24" s="45">
        <f>SUM(C18:C23)</f>
        <v>24.629000000000001</v>
      </c>
      <c r="D24" s="20"/>
      <c r="E24" s="21" t="s">
        <v>78</v>
      </c>
      <c r="F24" s="22">
        <f>SUM(F18:F23)</f>
        <v>25386.48</v>
      </c>
    </row>
    <row r="26" spans="2:6" x14ac:dyDescent="0.25">
      <c r="B26" s="23" t="s">
        <v>80</v>
      </c>
      <c r="C26" s="24"/>
      <c r="D26" s="24"/>
      <c r="E26" s="24"/>
    </row>
    <row r="27" spans="2:6" x14ac:dyDescent="0.25">
      <c r="B27" s="25"/>
      <c r="C27" s="24"/>
      <c r="D27" s="24"/>
      <c r="E27" s="24"/>
    </row>
    <row r="28" spans="2:6" x14ac:dyDescent="0.25">
      <c r="B28" s="26"/>
      <c r="C28" s="24"/>
      <c r="D28" s="26" t="s">
        <v>64</v>
      </c>
      <c r="E28" s="24"/>
    </row>
    <row r="29" spans="2:6" x14ac:dyDescent="0.25">
      <c r="B29" s="26"/>
      <c r="C29" s="24"/>
      <c r="D29" s="24"/>
      <c r="E29" s="24"/>
    </row>
    <row r="30" spans="2:6" x14ac:dyDescent="0.25">
      <c r="B30" s="26" t="s">
        <v>74</v>
      </c>
      <c r="C30" s="24"/>
      <c r="D30" s="26" t="s">
        <v>65</v>
      </c>
      <c r="E30" s="24"/>
    </row>
    <row r="31" spans="2:6" x14ac:dyDescent="0.25">
      <c r="B31" s="26"/>
      <c r="C31" s="24"/>
      <c r="D31" s="26" t="s">
        <v>66</v>
      </c>
      <c r="E31" s="24"/>
    </row>
    <row r="33" spans="10:11" ht="18.75" customHeight="1" x14ac:dyDescent="0.25"/>
    <row r="35" spans="10:11" ht="9" customHeight="1" x14ac:dyDescent="0.25"/>
    <row r="36" spans="10:11" hidden="1" x14ac:dyDescent="0.25"/>
    <row r="37" spans="10:11" x14ac:dyDescent="0.25">
      <c r="J37" s="73"/>
      <c r="K37" s="73"/>
    </row>
    <row r="59" spans="2:11" x14ac:dyDescent="0.25">
      <c r="B59" s="73"/>
      <c r="C59" s="73"/>
      <c r="D59" s="73"/>
      <c r="E59" s="73"/>
      <c r="F59" s="73"/>
    </row>
    <row r="60" spans="2:11" ht="102.75" customHeight="1" x14ac:dyDescent="0.25">
      <c r="B60" s="73"/>
      <c r="C60" s="73"/>
      <c r="D60" s="73"/>
      <c r="E60" s="73"/>
      <c r="F60" s="73"/>
    </row>
    <row r="61" spans="2:11" x14ac:dyDescent="0.25">
      <c r="B61" s="73"/>
      <c r="C61" s="73"/>
      <c r="D61" s="73"/>
      <c r="E61" s="73"/>
      <c r="F61" s="73"/>
    </row>
    <row r="62" spans="2:11" ht="69.75" customHeight="1" x14ac:dyDescent="0.25">
      <c r="B62" s="73"/>
      <c r="C62" s="73"/>
      <c r="D62" s="73"/>
      <c r="E62" s="73"/>
      <c r="F62" s="73"/>
    </row>
    <row r="63" spans="2:11" x14ac:dyDescent="0.25">
      <c r="J63" s="73"/>
      <c r="K63" s="73"/>
    </row>
  </sheetData>
  <protectedRanges>
    <protectedRange algorithmName="SHA-512" hashValue="poroQ6AOCp+PrXUU2E1NErYIFQH5Vb3rJFa5nEtjHcNd2xSuKk5xyHjxyYSj0ALpLP6WOSx/b1qjw/2zF/GuYQ==" saltValue="BNE7NYaoREnSby9ppJtTLw==" spinCount="100000" sqref="C15 C39 C65" name="Rango3"/>
    <protectedRange algorithmName="SHA-512" hashValue="tUGEn7omUASg2YnQUJFND+3qd4CF5BwoMj/cO/PA5wQF78Nm09A5xeFuei1S8jh1bhgAFdQbH1BhWbmB36F/gA==" saltValue="u/5i146fT7pcplAmbBqlww==" spinCount="100000" sqref="F42:F45 F68:F89 F18:F24" name="Rango2"/>
    <protectedRange algorithmName="SHA-512" hashValue="Fy74vzPqavg1HALyDiBARtZGduGibbQdzXJe+BveEjcDaIaSKVQYGdBygGaDWkJoeeVlREXXbIlDQeT5XgK+1A==" saltValue="3DEii5LrexWdXZ4VPlmQPg==" spinCount="100000" sqref="I13:J16 J37:K40 J63:K66" name="Rango1"/>
  </protectedRanges>
  <mergeCells count="7">
    <mergeCell ref="J63:K63"/>
    <mergeCell ref="B9:F10"/>
    <mergeCell ref="B11:F12"/>
    <mergeCell ref="I13:J13"/>
    <mergeCell ref="J37:K37"/>
    <mergeCell ref="B59:F60"/>
    <mergeCell ref="B61:F62"/>
  </mergeCells>
  <dataValidations count="2">
    <dataValidation type="list" allowBlank="1" showInputMessage="1" showErrorMessage="1" sqref="B56" xr:uid="{1454D1A6-DEB9-477F-BABD-932260CE04A9}">
      <formula1>$B$6:$B$7</formula1>
    </dataValidation>
    <dataValidation type="list" allowBlank="1" showInputMessage="1" showErrorMessage="1" sqref="C14 C64" xr:uid="{679655AA-C7D6-42BC-BC7B-00F236868A44}">
      <formula1>$D$14:$F$14</formula1>
    </dataValidation>
  </dataValidations>
  <pageMargins left="0.23622047244094491" right="0.23622047244094491" top="0.94488188976377963" bottom="0.74803149606299213" header="0.31496062992125984" footer="0.31496062992125984"/>
  <pageSetup scale="86" fitToHeight="0" orientation="portrait" r:id="rId1"/>
  <rowBreaks count="2" manualBreakCount="2">
    <brk id="32" min="1" max="5" man="1"/>
    <brk id="55" max="5" man="1"/>
  </rowBreaks>
  <colBreaks count="2" manualBreakCount="2">
    <brk id="1" min="31" max="67" man="1"/>
    <brk id="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E8A8-5C53-4504-8366-C3FAB9414F9E}">
  <sheetPr>
    <tabColor theme="3" tint="0.499984740745262"/>
    <pageSetUpPr fitToPage="1"/>
  </sheetPr>
  <dimension ref="B6:K79"/>
  <sheetViews>
    <sheetView topLeftCell="A10" zoomScaleNormal="100" workbookViewId="0">
      <selection activeCell="D14" sqref="D14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87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7" t="s">
        <v>91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$F$35</f>
        <v>18825.45</v>
      </c>
    </row>
    <row r="15" spans="2:10" x14ac:dyDescent="0.25">
      <c r="B15" t="s">
        <v>52</v>
      </c>
      <c r="C15" s="8">
        <f>+F35*J16</f>
        <v>33.316649874440799</v>
      </c>
      <c r="D15" s="52" t="s">
        <v>77</v>
      </c>
      <c r="I15" t="s">
        <v>54</v>
      </c>
      <c r="J15">
        <f>+C35</f>
        <v>17.754999999999999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15.75" thickBot="1" x14ac:dyDescent="0.3">
      <c r="B18" s="12" t="s">
        <v>15</v>
      </c>
      <c r="C18" s="17">
        <v>1.01</v>
      </c>
      <c r="D18" s="13" t="s">
        <v>55</v>
      </c>
      <c r="E18" s="51">
        <v>1080</v>
      </c>
      <c r="F18" s="15">
        <f>+C18*E18</f>
        <v>1090.8</v>
      </c>
    </row>
    <row r="19" spans="2:6" ht="15.75" thickBot="1" x14ac:dyDescent="0.3">
      <c r="B19" s="12" t="s">
        <v>15</v>
      </c>
      <c r="C19" s="17">
        <v>1.0049999999999999</v>
      </c>
      <c r="D19" s="13" t="s">
        <v>55</v>
      </c>
      <c r="E19" s="51">
        <v>1080</v>
      </c>
      <c r="F19" s="15">
        <f t="shared" ref="F19:F34" si="0">+C19*E19</f>
        <v>1085.3999999999999</v>
      </c>
    </row>
    <row r="20" spans="2:6" ht="15.75" thickBot="1" x14ac:dyDescent="0.3">
      <c r="B20" s="12" t="s">
        <v>15</v>
      </c>
      <c r="C20" s="34">
        <v>1.17</v>
      </c>
      <c r="D20" s="30" t="s">
        <v>55</v>
      </c>
      <c r="E20" s="55">
        <v>1090</v>
      </c>
      <c r="F20" s="15">
        <f t="shared" si="0"/>
        <v>1275.3</v>
      </c>
    </row>
    <row r="21" spans="2:6" ht="15.75" thickBot="1" x14ac:dyDescent="0.3">
      <c r="B21" s="12" t="s">
        <v>15</v>
      </c>
      <c r="C21" s="34">
        <v>1.095</v>
      </c>
      <c r="D21" s="30" t="s">
        <v>55</v>
      </c>
      <c r="E21" s="55">
        <v>1120</v>
      </c>
      <c r="F21" s="15">
        <f t="shared" si="0"/>
        <v>1226.3999999999999</v>
      </c>
    </row>
    <row r="22" spans="2:6" ht="15.75" thickBot="1" x14ac:dyDescent="0.3">
      <c r="B22" s="12" t="s">
        <v>15</v>
      </c>
      <c r="C22" s="34">
        <v>0.99</v>
      </c>
      <c r="D22" s="30" t="s">
        <v>55</v>
      </c>
      <c r="E22" s="51">
        <v>1060</v>
      </c>
      <c r="F22" s="15">
        <f t="shared" si="0"/>
        <v>1049.4000000000001</v>
      </c>
    </row>
    <row r="23" spans="2:6" ht="15.75" thickBot="1" x14ac:dyDescent="0.3">
      <c r="B23" s="12" t="s">
        <v>15</v>
      </c>
      <c r="C23" s="34">
        <v>0.98</v>
      </c>
      <c r="D23" s="30" t="s">
        <v>55</v>
      </c>
      <c r="E23" s="51">
        <v>1050</v>
      </c>
      <c r="F23" s="57">
        <f t="shared" si="0"/>
        <v>1029</v>
      </c>
    </row>
    <row r="24" spans="2:6" ht="15.75" thickBot="1" x14ac:dyDescent="0.3">
      <c r="B24" s="12" t="s">
        <v>15</v>
      </c>
      <c r="C24" s="44">
        <v>1.02</v>
      </c>
      <c r="D24" s="30" t="s">
        <v>55</v>
      </c>
      <c r="E24" s="51">
        <v>1060</v>
      </c>
      <c r="F24" s="57">
        <f t="shared" si="0"/>
        <v>1081.2</v>
      </c>
    </row>
    <row r="25" spans="2:6" ht="15.75" thickBot="1" x14ac:dyDescent="0.3">
      <c r="B25" s="12" t="s">
        <v>15</v>
      </c>
      <c r="C25" s="44">
        <v>1.115</v>
      </c>
      <c r="D25" s="30" t="s">
        <v>55</v>
      </c>
      <c r="E25" s="51">
        <v>1020</v>
      </c>
      <c r="F25" s="57">
        <f t="shared" si="0"/>
        <v>1137.3</v>
      </c>
    </row>
    <row r="26" spans="2:6" ht="15.75" thickBot="1" x14ac:dyDescent="0.3">
      <c r="B26" s="12" t="s">
        <v>15</v>
      </c>
      <c r="C26" s="44">
        <v>1.04</v>
      </c>
      <c r="D26" s="30" t="s">
        <v>55</v>
      </c>
      <c r="E26" s="51">
        <v>1020</v>
      </c>
      <c r="F26" s="57">
        <f t="shared" si="0"/>
        <v>1060.8</v>
      </c>
    </row>
    <row r="27" spans="2:6" ht="15.75" thickBot="1" x14ac:dyDescent="0.3">
      <c r="B27" s="12" t="s">
        <v>15</v>
      </c>
      <c r="C27" s="44">
        <v>1.0549999999999999</v>
      </c>
      <c r="D27" s="30" t="s">
        <v>55</v>
      </c>
      <c r="E27" s="51">
        <v>1020</v>
      </c>
      <c r="F27" s="57">
        <f t="shared" si="0"/>
        <v>1076.0999999999999</v>
      </c>
    </row>
    <row r="28" spans="2:6" ht="15.75" thickBot="1" x14ac:dyDescent="0.3">
      <c r="B28" s="12" t="s">
        <v>15</v>
      </c>
      <c r="C28" s="44">
        <v>1.0549999999999999</v>
      </c>
      <c r="D28" s="30" t="s">
        <v>55</v>
      </c>
      <c r="E28" s="51">
        <v>1020</v>
      </c>
      <c r="F28" s="57">
        <f t="shared" si="0"/>
        <v>1076.0999999999999</v>
      </c>
    </row>
    <row r="29" spans="2:6" ht="15.75" thickBot="1" x14ac:dyDescent="0.3">
      <c r="B29" s="12" t="s">
        <v>15</v>
      </c>
      <c r="C29" s="44">
        <v>1.04</v>
      </c>
      <c r="D29" s="30" t="s">
        <v>55</v>
      </c>
      <c r="E29" s="51">
        <v>1080</v>
      </c>
      <c r="F29" s="57">
        <f t="shared" si="0"/>
        <v>1123.2</v>
      </c>
    </row>
    <row r="30" spans="2:6" ht="15.75" thickBot="1" x14ac:dyDescent="0.3">
      <c r="B30" s="12" t="s">
        <v>15</v>
      </c>
      <c r="C30" s="44">
        <v>1.03</v>
      </c>
      <c r="D30" s="30" t="s">
        <v>55</v>
      </c>
      <c r="E30" s="51">
        <v>1020</v>
      </c>
      <c r="F30" s="57">
        <f t="shared" si="0"/>
        <v>1050.6000000000001</v>
      </c>
    </row>
    <row r="31" spans="2:6" ht="15.75" thickBot="1" x14ac:dyDescent="0.3">
      <c r="B31" s="12" t="s">
        <v>15</v>
      </c>
      <c r="C31" s="44">
        <v>1.115</v>
      </c>
      <c r="D31" s="30" t="s">
        <v>55</v>
      </c>
      <c r="E31" s="51">
        <v>1020</v>
      </c>
      <c r="F31" s="57">
        <f t="shared" si="0"/>
        <v>1137.3</v>
      </c>
    </row>
    <row r="32" spans="2:6" ht="15.75" thickBot="1" x14ac:dyDescent="0.3">
      <c r="B32" s="12" t="s">
        <v>15</v>
      </c>
      <c r="C32" s="44">
        <v>1.125</v>
      </c>
      <c r="D32" s="30" t="s">
        <v>55</v>
      </c>
      <c r="E32" s="51">
        <v>1000</v>
      </c>
      <c r="F32" s="57">
        <f t="shared" si="0"/>
        <v>1125</v>
      </c>
    </row>
    <row r="33" spans="2:6" ht="24.75" thickBot="1" x14ac:dyDescent="0.3">
      <c r="B33" s="33" t="s">
        <v>11</v>
      </c>
      <c r="C33" s="44">
        <v>0.98499999999999999</v>
      </c>
      <c r="D33" s="30" t="s">
        <v>55</v>
      </c>
      <c r="E33" s="51">
        <v>1080</v>
      </c>
      <c r="F33" s="57">
        <f t="shared" si="0"/>
        <v>1063.8</v>
      </c>
    </row>
    <row r="34" spans="2:6" ht="24.75" thickBot="1" x14ac:dyDescent="0.3">
      <c r="B34" s="33" t="s">
        <v>11</v>
      </c>
      <c r="C34" s="44">
        <v>0.92500000000000004</v>
      </c>
      <c r="D34" s="30" t="s">
        <v>55</v>
      </c>
      <c r="E34" s="51">
        <v>1230</v>
      </c>
      <c r="F34" s="57">
        <f t="shared" si="0"/>
        <v>1137.75</v>
      </c>
    </row>
    <row r="35" spans="2:6" ht="15.75" thickBot="1" x14ac:dyDescent="0.3">
      <c r="C35" s="45">
        <f>SUM(C18:C34)</f>
        <v>17.754999999999999</v>
      </c>
      <c r="D35" s="20"/>
      <c r="E35" s="21" t="s">
        <v>78</v>
      </c>
      <c r="F35" s="22">
        <f>SUM(F18:F34)</f>
        <v>18825.45</v>
      </c>
    </row>
    <row r="36" spans="2:6" x14ac:dyDescent="0.25">
      <c r="C36" s="58"/>
      <c r="D36" s="59"/>
      <c r="E36" s="60"/>
      <c r="F36" s="61"/>
    </row>
    <row r="37" spans="2:6" x14ac:dyDescent="0.25">
      <c r="C37" s="58"/>
      <c r="D37" s="59"/>
      <c r="E37" s="60"/>
      <c r="F37" s="61"/>
    </row>
    <row r="38" spans="2:6" x14ac:dyDescent="0.25">
      <c r="C38" s="58"/>
      <c r="D38" s="59"/>
      <c r="E38" s="60"/>
      <c r="F38" s="61"/>
    </row>
    <row r="39" spans="2:6" x14ac:dyDescent="0.25">
      <c r="C39" s="58"/>
      <c r="D39" s="59"/>
      <c r="E39" s="60"/>
      <c r="F39" s="61"/>
    </row>
    <row r="42" spans="2:6" x14ac:dyDescent="0.25">
      <c r="B42" s="23" t="s">
        <v>80</v>
      </c>
      <c r="C42" s="24"/>
      <c r="D42" s="24"/>
      <c r="E42" s="24"/>
    </row>
    <row r="43" spans="2:6" x14ac:dyDescent="0.25">
      <c r="B43" s="25"/>
      <c r="C43" s="24"/>
      <c r="D43" s="24"/>
      <c r="E43" s="24"/>
    </row>
    <row r="44" spans="2:6" x14ac:dyDescent="0.25">
      <c r="B44" s="26"/>
      <c r="C44" s="24"/>
      <c r="D44" s="26" t="s">
        <v>64</v>
      </c>
      <c r="E44" s="24"/>
    </row>
    <row r="45" spans="2:6" x14ac:dyDescent="0.25">
      <c r="B45" s="26"/>
      <c r="C45" s="24"/>
      <c r="D45" s="24"/>
      <c r="E45" s="24"/>
    </row>
    <row r="46" spans="2:6" x14ac:dyDescent="0.25">
      <c r="B46" s="26" t="s">
        <v>74</v>
      </c>
      <c r="C46" s="24"/>
      <c r="D46" s="26" t="s">
        <v>65</v>
      </c>
      <c r="E46" s="24"/>
    </row>
    <row r="47" spans="2:6" x14ac:dyDescent="0.25">
      <c r="B47" s="26"/>
      <c r="C47" s="24"/>
      <c r="D47" s="26" t="s">
        <v>66</v>
      </c>
      <c r="E47" s="24"/>
    </row>
    <row r="49" spans="10:11" ht="18.75" customHeight="1" x14ac:dyDescent="0.25"/>
    <row r="51" spans="10:11" ht="9" customHeight="1" x14ac:dyDescent="0.25"/>
    <row r="52" spans="10:11" hidden="1" x14ac:dyDescent="0.25"/>
    <row r="53" spans="10:11" x14ac:dyDescent="0.25">
      <c r="J53" s="73"/>
      <c r="K53" s="73"/>
    </row>
    <row r="75" spans="2:11" x14ac:dyDescent="0.25">
      <c r="B75" s="73"/>
      <c r="C75" s="73"/>
      <c r="D75" s="73"/>
      <c r="E75" s="73"/>
      <c r="F75" s="73"/>
    </row>
    <row r="76" spans="2:11" ht="102.75" customHeight="1" x14ac:dyDescent="0.25">
      <c r="B76" s="73"/>
      <c r="C76" s="73"/>
      <c r="D76" s="73"/>
      <c r="E76" s="73"/>
      <c r="F76" s="73"/>
    </row>
    <row r="77" spans="2:11" x14ac:dyDescent="0.25">
      <c r="B77" s="73"/>
      <c r="C77" s="73"/>
      <c r="D77" s="73"/>
      <c r="E77" s="73"/>
      <c r="F77" s="73"/>
    </row>
    <row r="78" spans="2:11" ht="69.75" customHeight="1" x14ac:dyDescent="0.25">
      <c r="B78" s="73"/>
      <c r="C78" s="73"/>
      <c r="D78" s="73"/>
      <c r="E78" s="73"/>
      <c r="F78" s="73"/>
    </row>
    <row r="79" spans="2:11" x14ac:dyDescent="0.25">
      <c r="J79" s="73"/>
      <c r="K79" s="73"/>
    </row>
  </sheetData>
  <protectedRanges>
    <protectedRange algorithmName="SHA-512" hashValue="poroQ6AOCp+PrXUU2E1NErYIFQH5Vb3rJFa5nEtjHcNd2xSuKk5xyHjxyYSj0ALpLP6WOSx/b1qjw/2zF/GuYQ==" saltValue="BNE7NYaoREnSby9ppJtTLw==" spinCount="100000" sqref="C15 C55 C81" name="Rango3"/>
    <protectedRange algorithmName="SHA-512" hashValue="tUGEn7omUASg2YnQUJFND+3qd4CF5BwoMj/cO/PA5wQF78Nm09A5xeFuei1S8jh1bhgAFdQbH1BhWbmB36F/gA==" saltValue="u/5i146fT7pcplAmbBqlww==" spinCount="100000" sqref="F58:F61 F84:F105 F18:F39" name="Rango2"/>
    <protectedRange algorithmName="SHA-512" hashValue="Fy74vzPqavg1HALyDiBARtZGduGibbQdzXJe+BveEjcDaIaSKVQYGdBygGaDWkJoeeVlREXXbIlDQeT5XgK+1A==" saltValue="3DEii5LrexWdXZ4VPlmQPg==" spinCount="100000" sqref="I13:J16 J53:K56 J79:K82" name="Rango1"/>
  </protectedRanges>
  <mergeCells count="7">
    <mergeCell ref="J79:K79"/>
    <mergeCell ref="B9:F10"/>
    <mergeCell ref="B11:F12"/>
    <mergeCell ref="I13:J13"/>
    <mergeCell ref="J53:K53"/>
    <mergeCell ref="B75:F76"/>
    <mergeCell ref="B77:F78"/>
  </mergeCells>
  <dataValidations count="2">
    <dataValidation type="list" allowBlank="1" showInputMessage="1" showErrorMessage="1" sqref="C14 C80" xr:uid="{6CE3B831-EE54-4871-A2E6-291A8998233F}">
      <formula1>$D$14:$F$14</formula1>
    </dataValidation>
    <dataValidation type="list" allowBlank="1" showInputMessage="1" showErrorMessage="1" sqref="B72" xr:uid="{E104AA30-C546-4FBB-A324-BFAF9C0D4FDD}">
      <formula1>$B$6:$B$7</formula1>
    </dataValidation>
  </dataValidations>
  <pageMargins left="0.23622047244094491" right="0.23622047244094491" top="0.94488188976377963" bottom="0.74803149606299213" header="0.31496062992125984" footer="0.31496062992125984"/>
  <pageSetup scale="86" fitToHeight="0" orientation="portrait" r:id="rId1"/>
  <rowBreaks count="3" manualBreakCount="3">
    <brk id="39" min="1" max="5" man="1"/>
    <brk id="48" min="1" max="5" man="1"/>
    <brk id="71" max="5" man="1"/>
  </rowBreaks>
  <colBreaks count="2" manualBreakCount="2">
    <brk id="1" min="47" max="83" man="1"/>
    <brk id="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42218-1BB0-4695-9F58-05145C4CD642}">
  <sheetPr>
    <pageSetUpPr fitToPage="1"/>
  </sheetPr>
  <dimension ref="B6:K61"/>
  <sheetViews>
    <sheetView topLeftCell="A10" zoomScaleNormal="100" workbookViewId="0">
      <selection activeCell="B23" sqref="B23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87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5" t="s">
        <v>88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$F$22</f>
        <v>4227.3</v>
      </c>
    </row>
    <row r="15" spans="2:10" x14ac:dyDescent="0.25">
      <c r="B15" t="s">
        <v>52</v>
      </c>
      <c r="C15" s="8">
        <f>+F22*J16</f>
        <v>7.4813337271737783</v>
      </c>
      <c r="D15" s="52" t="s">
        <v>77</v>
      </c>
      <c r="I15" t="s">
        <v>54</v>
      </c>
      <c r="J15">
        <f>+C22</f>
        <v>4.0649999999999995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15.75" thickBot="1" x14ac:dyDescent="0.3">
      <c r="B18" s="12" t="s">
        <v>15</v>
      </c>
      <c r="C18" s="17">
        <v>1.02</v>
      </c>
      <c r="D18" s="13" t="s">
        <v>55</v>
      </c>
      <c r="E18" s="51">
        <v>1060</v>
      </c>
      <c r="F18" s="15">
        <f>+C18*E18</f>
        <v>1081.2</v>
      </c>
    </row>
    <row r="19" spans="2:6" ht="15.75" thickBot="1" x14ac:dyDescent="0.3">
      <c r="B19" s="12" t="s">
        <v>15</v>
      </c>
      <c r="C19" s="17">
        <v>1.0049999999999999</v>
      </c>
      <c r="D19" s="13" t="s">
        <v>55</v>
      </c>
      <c r="E19" s="51">
        <v>1060</v>
      </c>
      <c r="F19" s="15">
        <f t="shared" ref="F19:F21" si="0">+C19*E19</f>
        <v>1065.3</v>
      </c>
    </row>
    <row r="20" spans="2:6" ht="15.75" thickBot="1" x14ac:dyDescent="0.3">
      <c r="B20" s="12" t="s">
        <v>15</v>
      </c>
      <c r="C20" s="34">
        <v>1.0249999999999999</v>
      </c>
      <c r="D20" s="30" t="s">
        <v>55</v>
      </c>
      <c r="E20" s="55">
        <v>1020</v>
      </c>
      <c r="F20" s="15">
        <f t="shared" si="0"/>
        <v>1045.5</v>
      </c>
    </row>
    <row r="21" spans="2:6" ht="15.75" thickBot="1" x14ac:dyDescent="0.3">
      <c r="B21" s="12" t="s">
        <v>15</v>
      </c>
      <c r="C21" s="34">
        <v>1.0149999999999999</v>
      </c>
      <c r="D21" s="30" t="s">
        <v>55</v>
      </c>
      <c r="E21" s="55">
        <v>1020</v>
      </c>
      <c r="F21" s="15">
        <f t="shared" si="0"/>
        <v>1035.3</v>
      </c>
    </row>
    <row r="22" spans="2:6" ht="15.75" thickBot="1" x14ac:dyDescent="0.3">
      <c r="C22" s="45">
        <f>SUM(C18:C21)</f>
        <v>4.0649999999999995</v>
      </c>
      <c r="D22" s="20"/>
      <c r="E22" s="21" t="s">
        <v>78</v>
      </c>
      <c r="F22" s="22">
        <f>SUM(F18:F21)</f>
        <v>4227.3</v>
      </c>
    </row>
    <row r="24" spans="2:6" x14ac:dyDescent="0.25">
      <c r="B24" s="23" t="s">
        <v>80</v>
      </c>
      <c r="C24" s="24"/>
      <c r="D24" s="24"/>
      <c r="E24" s="24"/>
    </row>
    <row r="25" spans="2:6" x14ac:dyDescent="0.25">
      <c r="B25" s="25"/>
      <c r="C25" s="24"/>
      <c r="D25" s="24"/>
      <c r="E25" s="24"/>
    </row>
    <row r="26" spans="2:6" x14ac:dyDescent="0.25">
      <c r="B26" s="26"/>
      <c r="C26" s="24"/>
      <c r="D26" s="26" t="s">
        <v>64</v>
      </c>
      <c r="E26" s="24"/>
    </row>
    <row r="27" spans="2:6" x14ac:dyDescent="0.25">
      <c r="B27" s="26"/>
      <c r="C27" s="24"/>
      <c r="D27" s="24"/>
      <c r="E27" s="24"/>
    </row>
    <row r="28" spans="2:6" x14ac:dyDescent="0.25">
      <c r="B28" s="26" t="s">
        <v>74</v>
      </c>
      <c r="C28" s="24"/>
      <c r="D28" s="26" t="s">
        <v>65</v>
      </c>
      <c r="E28" s="24"/>
    </row>
    <row r="29" spans="2:6" x14ac:dyDescent="0.25">
      <c r="B29" s="26"/>
      <c r="C29" s="24"/>
      <c r="D29" s="26" t="s">
        <v>66</v>
      </c>
      <c r="E29" s="24"/>
    </row>
    <row r="31" spans="2:6" ht="18.75" customHeight="1" x14ac:dyDescent="0.25"/>
    <row r="33" spans="10:11" ht="9" customHeight="1" x14ac:dyDescent="0.25"/>
    <row r="34" spans="10:11" hidden="1" x14ac:dyDescent="0.25"/>
    <row r="35" spans="10:11" x14ac:dyDescent="0.25">
      <c r="J35" s="73"/>
      <c r="K35" s="73"/>
    </row>
    <row r="57" spans="2:11" x14ac:dyDescent="0.25">
      <c r="B57" s="73"/>
      <c r="C57" s="73"/>
      <c r="D57" s="73"/>
      <c r="E57" s="73"/>
      <c r="F57" s="73"/>
    </row>
    <row r="58" spans="2:11" ht="102.75" customHeight="1" x14ac:dyDescent="0.25">
      <c r="B58" s="73"/>
      <c r="C58" s="73"/>
      <c r="D58" s="73"/>
      <c r="E58" s="73"/>
      <c r="F58" s="73"/>
    </row>
    <row r="59" spans="2:11" x14ac:dyDescent="0.25">
      <c r="B59" s="73"/>
      <c r="C59" s="73"/>
      <c r="D59" s="73"/>
      <c r="E59" s="73"/>
      <c r="F59" s="73"/>
    </row>
    <row r="60" spans="2:11" ht="69.75" customHeight="1" x14ac:dyDescent="0.25">
      <c r="B60" s="73"/>
      <c r="C60" s="73"/>
      <c r="D60" s="73"/>
      <c r="E60" s="73"/>
      <c r="F60" s="73"/>
    </row>
    <row r="61" spans="2:11" x14ac:dyDescent="0.25">
      <c r="J61" s="73"/>
      <c r="K61" s="73"/>
    </row>
  </sheetData>
  <protectedRanges>
    <protectedRange algorithmName="SHA-512" hashValue="poroQ6AOCp+PrXUU2E1NErYIFQH5Vb3rJFa5nEtjHcNd2xSuKk5xyHjxyYSj0ALpLP6WOSx/b1qjw/2zF/GuYQ==" saltValue="BNE7NYaoREnSby9ppJtTLw==" spinCount="100000" sqref="C15 C37 C63" name="Rango3"/>
    <protectedRange algorithmName="SHA-512" hashValue="tUGEn7omUASg2YnQUJFND+3qd4CF5BwoMj/cO/PA5wQF78Nm09A5xeFuei1S8jh1bhgAFdQbH1BhWbmB36F/gA==" saltValue="u/5i146fT7pcplAmbBqlww==" spinCount="100000" sqref="F40:F43 F66:F87 F18:F22" name="Rango2"/>
    <protectedRange algorithmName="SHA-512" hashValue="Fy74vzPqavg1HALyDiBARtZGduGibbQdzXJe+BveEjcDaIaSKVQYGdBygGaDWkJoeeVlREXXbIlDQeT5XgK+1A==" saltValue="3DEii5LrexWdXZ4VPlmQPg==" spinCount="100000" sqref="I13:J16 J35:K38 J61:K64" name="Rango1"/>
  </protectedRanges>
  <mergeCells count="7">
    <mergeCell ref="J61:K61"/>
    <mergeCell ref="B9:F10"/>
    <mergeCell ref="B11:F12"/>
    <mergeCell ref="I13:J13"/>
    <mergeCell ref="J35:K35"/>
    <mergeCell ref="B57:F58"/>
    <mergeCell ref="B59:F60"/>
  </mergeCells>
  <dataValidations count="2">
    <dataValidation type="list" allowBlank="1" showInputMessage="1" showErrorMessage="1" sqref="B54" xr:uid="{13EA6214-F2BF-46DF-A812-26AB9FC376B3}">
      <formula1>$B$6:$B$7</formula1>
    </dataValidation>
    <dataValidation type="list" allowBlank="1" showInputMessage="1" showErrorMessage="1" sqref="C14 C62" xr:uid="{EBF5C117-DEB6-47AA-A0CC-0C734980D58C}">
      <formula1>$D$14:$F$14</formula1>
    </dataValidation>
  </dataValidations>
  <pageMargins left="0.23622047244094491" right="0.23622047244094491" top="0.94488188976377963" bottom="0.74803149606299213" header="0.31496062992125984" footer="0.31496062992125984"/>
  <pageSetup scale="86" fitToHeight="0" orientation="portrait" r:id="rId1"/>
  <rowBreaks count="2" manualBreakCount="2">
    <brk id="30" min="1" max="5" man="1"/>
    <brk id="53" max="5" man="1"/>
  </rowBreaks>
  <colBreaks count="2" manualBreakCount="2">
    <brk id="1" min="29" max="65" man="1"/>
    <brk id="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3F1F-F759-444A-A9AF-067502F1CA7B}">
  <sheetPr>
    <tabColor theme="4" tint="0.39997558519241921"/>
    <pageSetUpPr fitToPage="1"/>
  </sheetPr>
  <dimension ref="B6:K60"/>
  <sheetViews>
    <sheetView topLeftCell="A7" zoomScaleNormal="100" workbookViewId="0">
      <selection activeCell="B20" sqref="B20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87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5" t="s">
        <v>89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$F$21</f>
        <v>3425.1</v>
      </c>
    </row>
    <row r="15" spans="2:10" x14ac:dyDescent="0.25">
      <c r="B15" t="s">
        <v>52</v>
      </c>
      <c r="C15" s="8">
        <f>+F21*J16</f>
        <v>6.0616270784999662</v>
      </c>
      <c r="D15" s="52" t="s">
        <v>77</v>
      </c>
      <c r="I15" t="s">
        <v>54</v>
      </c>
      <c r="J15">
        <f>+C21</f>
        <v>2.9849999999999994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15.75" thickBot="1" x14ac:dyDescent="0.3">
      <c r="B18" s="12" t="s">
        <v>15</v>
      </c>
      <c r="C18" s="17">
        <v>1.0249999999999999</v>
      </c>
      <c r="D18" s="13" t="s">
        <v>55</v>
      </c>
      <c r="E18" s="51">
        <v>1080</v>
      </c>
      <c r="F18" s="15">
        <f>+C18*E18</f>
        <v>1107</v>
      </c>
    </row>
    <row r="19" spans="2:6" ht="15.75" thickBot="1" x14ac:dyDescent="0.3">
      <c r="B19" s="12" t="s">
        <v>15</v>
      </c>
      <c r="C19" s="17">
        <v>1.0349999999999999</v>
      </c>
      <c r="D19" s="13" t="s">
        <v>55</v>
      </c>
      <c r="E19" s="51">
        <v>1060</v>
      </c>
      <c r="F19" s="15">
        <f t="shared" ref="F19:F20" si="0">+C19*E19</f>
        <v>1097.0999999999999</v>
      </c>
    </row>
    <row r="20" spans="2:6" ht="24.75" thickBot="1" x14ac:dyDescent="0.3">
      <c r="B20" s="33" t="s">
        <v>11</v>
      </c>
      <c r="C20" s="34">
        <v>0.92500000000000004</v>
      </c>
      <c r="D20" s="30" t="s">
        <v>55</v>
      </c>
      <c r="E20" s="55">
        <v>1320</v>
      </c>
      <c r="F20" s="15">
        <f t="shared" si="0"/>
        <v>1221</v>
      </c>
    </row>
    <row r="21" spans="2:6" ht="15.75" thickBot="1" x14ac:dyDescent="0.3">
      <c r="C21" s="45">
        <f>SUM(C18:C20)</f>
        <v>2.9849999999999994</v>
      </c>
      <c r="D21" s="20"/>
      <c r="E21" s="21" t="s">
        <v>78</v>
      </c>
      <c r="F21" s="22">
        <f>SUM(F18:F20)</f>
        <v>3425.1</v>
      </c>
    </row>
    <row r="23" spans="2:6" x14ac:dyDescent="0.25">
      <c r="B23" s="23" t="s">
        <v>80</v>
      </c>
      <c r="C23" s="24"/>
      <c r="D23" s="24"/>
      <c r="E23" s="24"/>
    </row>
    <row r="24" spans="2:6" x14ac:dyDescent="0.25">
      <c r="B24" s="25"/>
      <c r="C24" s="24"/>
      <c r="D24" s="24"/>
      <c r="E24" s="24"/>
    </row>
    <row r="25" spans="2:6" x14ac:dyDescent="0.25">
      <c r="B25" s="26"/>
      <c r="C25" s="24"/>
      <c r="D25" s="26" t="s">
        <v>64</v>
      </c>
      <c r="E25" s="24"/>
    </row>
    <row r="26" spans="2:6" x14ac:dyDescent="0.25">
      <c r="B26" s="26"/>
      <c r="C26" s="24"/>
      <c r="D26" s="24"/>
      <c r="E26" s="24"/>
    </row>
    <row r="27" spans="2:6" x14ac:dyDescent="0.25">
      <c r="B27" s="26" t="s">
        <v>74</v>
      </c>
      <c r="C27" s="24"/>
      <c r="D27" s="26" t="s">
        <v>65</v>
      </c>
      <c r="E27" s="24"/>
    </row>
    <row r="28" spans="2:6" x14ac:dyDescent="0.25">
      <c r="B28" s="26"/>
      <c r="C28" s="24"/>
      <c r="D28" s="26" t="s">
        <v>66</v>
      </c>
      <c r="E28" s="24"/>
    </row>
    <row r="30" spans="2:6" ht="18.75" customHeight="1" x14ac:dyDescent="0.25"/>
    <row r="32" spans="2:6" ht="9" customHeight="1" x14ac:dyDescent="0.25"/>
    <row r="33" spans="10:11" hidden="1" x14ac:dyDescent="0.25"/>
    <row r="34" spans="10:11" x14ac:dyDescent="0.25">
      <c r="J34" s="73"/>
      <c r="K34" s="73"/>
    </row>
    <row r="56" spans="2:11" x14ac:dyDescent="0.25">
      <c r="B56" s="73"/>
      <c r="C56" s="73"/>
      <c r="D56" s="73"/>
      <c r="E56" s="73"/>
      <c r="F56" s="73"/>
    </row>
    <row r="57" spans="2:11" ht="102.75" customHeight="1" x14ac:dyDescent="0.25">
      <c r="B57" s="73"/>
      <c r="C57" s="73"/>
      <c r="D57" s="73"/>
      <c r="E57" s="73"/>
      <c r="F57" s="73"/>
    </row>
    <row r="58" spans="2:11" x14ac:dyDescent="0.25">
      <c r="B58" s="73"/>
      <c r="C58" s="73"/>
      <c r="D58" s="73"/>
      <c r="E58" s="73"/>
      <c r="F58" s="73"/>
    </row>
    <row r="59" spans="2:11" ht="69.75" customHeight="1" x14ac:dyDescent="0.25">
      <c r="B59" s="73"/>
      <c r="C59" s="73"/>
      <c r="D59" s="73"/>
      <c r="E59" s="73"/>
      <c r="F59" s="73"/>
    </row>
    <row r="60" spans="2:11" x14ac:dyDescent="0.25">
      <c r="J60" s="73"/>
      <c r="K60" s="73"/>
    </row>
  </sheetData>
  <protectedRanges>
    <protectedRange algorithmName="SHA-512" hashValue="poroQ6AOCp+PrXUU2E1NErYIFQH5Vb3rJFa5nEtjHcNd2xSuKk5xyHjxyYSj0ALpLP6WOSx/b1qjw/2zF/GuYQ==" saltValue="BNE7NYaoREnSby9ppJtTLw==" spinCount="100000" sqref="C15 C36 C62" name="Rango3"/>
    <protectedRange algorithmName="SHA-512" hashValue="tUGEn7omUASg2YnQUJFND+3qd4CF5BwoMj/cO/PA5wQF78Nm09A5xeFuei1S8jh1bhgAFdQbH1BhWbmB36F/gA==" saltValue="u/5i146fT7pcplAmbBqlww==" spinCount="100000" sqref="F39:F42 F65:F86 F18:F21" name="Rango2"/>
    <protectedRange algorithmName="SHA-512" hashValue="Fy74vzPqavg1HALyDiBARtZGduGibbQdzXJe+BveEjcDaIaSKVQYGdBygGaDWkJoeeVlREXXbIlDQeT5XgK+1A==" saltValue="3DEii5LrexWdXZ4VPlmQPg==" spinCount="100000" sqref="I13:J16 J34:K37 J60:K63" name="Rango1"/>
  </protectedRanges>
  <mergeCells count="7">
    <mergeCell ref="J60:K60"/>
    <mergeCell ref="B9:F10"/>
    <mergeCell ref="B11:F12"/>
    <mergeCell ref="I13:J13"/>
    <mergeCell ref="J34:K34"/>
    <mergeCell ref="B56:F57"/>
    <mergeCell ref="B58:F59"/>
  </mergeCells>
  <dataValidations count="2">
    <dataValidation type="list" allowBlank="1" showInputMessage="1" showErrorMessage="1" sqref="C14 C61" xr:uid="{34E45374-2A5D-4BC2-9CD3-14115F7F17C6}">
      <formula1>$D$14:$F$14</formula1>
    </dataValidation>
    <dataValidation type="list" allowBlank="1" showInputMessage="1" showErrorMessage="1" sqref="B53" xr:uid="{871832CE-C9E9-4402-9BF3-BBEF9A7C68F3}">
      <formula1>$B$6:$B$7</formula1>
    </dataValidation>
  </dataValidations>
  <pageMargins left="0.23622047244094491" right="0.23622047244094491" top="0.94488188976377963" bottom="0.74803149606299213" header="0.31496062992125984" footer="0.31496062992125984"/>
  <pageSetup scale="86" fitToHeight="0" orientation="portrait" r:id="rId1"/>
  <rowBreaks count="2" manualBreakCount="2">
    <brk id="29" min="1" max="5" man="1"/>
    <brk id="52" max="5" man="1"/>
  </rowBreaks>
  <colBreaks count="2" manualBreakCount="2">
    <brk id="1" min="28" max="64" man="1"/>
    <brk id="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7498-5359-4513-9B6A-A0243C650472}">
  <sheetPr>
    <pageSetUpPr fitToPage="1"/>
  </sheetPr>
  <dimension ref="B6:K71"/>
  <sheetViews>
    <sheetView topLeftCell="A10" zoomScaleNormal="100" workbookViewId="0">
      <selection activeCell="B21" sqref="B21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87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5" t="s">
        <v>90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$F$31</f>
        <v>26635.600000000002</v>
      </c>
    </row>
    <row r="15" spans="2:10" x14ac:dyDescent="0.25">
      <c r="B15" t="s">
        <v>52</v>
      </c>
      <c r="C15" s="8">
        <f>+F31*J17</f>
        <v>92.257141736800008</v>
      </c>
      <c r="D15" s="52" t="s">
        <v>77</v>
      </c>
      <c r="I15" t="s">
        <v>54</v>
      </c>
      <c r="J15">
        <f>+C31</f>
        <v>25.475000000000001</v>
      </c>
    </row>
    <row r="16" spans="2:10" ht="15.75" thickBot="1" x14ac:dyDescent="0.3">
      <c r="D16" s="4" t="s">
        <v>55</v>
      </c>
      <c r="I16" t="s">
        <v>56</v>
      </c>
      <c r="J16" s="9"/>
    </row>
    <row r="17" spans="2:10" ht="16.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J17" s="63">
        <v>3.463678E-3</v>
      </c>
    </row>
    <row r="18" spans="2:10" ht="15.75" thickBot="1" x14ac:dyDescent="0.3">
      <c r="B18" s="12" t="s">
        <v>15</v>
      </c>
      <c r="C18" s="17">
        <v>1.0349999999999999</v>
      </c>
      <c r="D18" s="13" t="s">
        <v>55</v>
      </c>
      <c r="E18" s="51">
        <v>1160</v>
      </c>
      <c r="F18" s="15">
        <f>+C18*E18</f>
        <v>1200.5999999999999</v>
      </c>
    </row>
    <row r="19" spans="2:10" ht="15.75" thickBot="1" x14ac:dyDescent="0.3">
      <c r="B19" s="12" t="s">
        <v>15</v>
      </c>
      <c r="C19" s="17">
        <v>1.04</v>
      </c>
      <c r="D19" s="13" t="s">
        <v>55</v>
      </c>
      <c r="E19" s="51">
        <v>1080</v>
      </c>
      <c r="F19" s="15">
        <f t="shared" ref="F19:F30" si="0">+C19*E19</f>
        <v>1123.2</v>
      </c>
    </row>
    <row r="20" spans="2:10" ht="15.75" thickBot="1" x14ac:dyDescent="0.3">
      <c r="B20" s="12" t="s">
        <v>15</v>
      </c>
      <c r="C20" s="34">
        <v>4.4800000000000004</v>
      </c>
      <c r="D20" s="30" t="s">
        <v>55</v>
      </c>
      <c r="E20" s="55">
        <v>1040</v>
      </c>
      <c r="F20" s="15">
        <f t="shared" si="0"/>
        <v>4659.2000000000007</v>
      </c>
    </row>
    <row r="21" spans="2:10" ht="15.75" thickBot="1" x14ac:dyDescent="0.3">
      <c r="B21" s="12" t="s">
        <v>15</v>
      </c>
      <c r="C21" s="34">
        <v>4</v>
      </c>
      <c r="D21" s="30" t="s">
        <v>55</v>
      </c>
      <c r="E21" s="51">
        <v>1030</v>
      </c>
      <c r="F21" s="15">
        <f t="shared" si="0"/>
        <v>4120</v>
      </c>
    </row>
    <row r="22" spans="2:10" ht="15.75" thickBot="1" x14ac:dyDescent="0.3">
      <c r="B22" s="12" t="s">
        <v>15</v>
      </c>
      <c r="C22" s="34">
        <v>4.3150000000000004</v>
      </c>
      <c r="D22" s="30" t="s">
        <v>55</v>
      </c>
      <c r="E22" s="51">
        <v>1030</v>
      </c>
      <c r="F22" s="15">
        <f t="shared" si="0"/>
        <v>4444.4500000000007</v>
      </c>
    </row>
    <row r="23" spans="2:10" ht="15.75" thickBot="1" x14ac:dyDescent="0.3">
      <c r="B23" s="12" t="s">
        <v>15</v>
      </c>
      <c r="C23" s="34">
        <v>1.0549999999999999</v>
      </c>
      <c r="D23" s="30" t="s">
        <v>55</v>
      </c>
      <c r="E23" s="51">
        <v>1030</v>
      </c>
      <c r="F23" s="15">
        <f t="shared" si="0"/>
        <v>1086.6499999999999</v>
      </c>
    </row>
    <row r="24" spans="2:10" ht="15.75" thickBot="1" x14ac:dyDescent="0.3">
      <c r="B24" s="12" t="s">
        <v>15</v>
      </c>
      <c r="C24" s="34">
        <v>1.0649999999999999</v>
      </c>
      <c r="D24" s="30" t="s">
        <v>55</v>
      </c>
      <c r="E24" s="51">
        <v>1030</v>
      </c>
      <c r="F24" s="15">
        <f t="shared" si="0"/>
        <v>1096.95</v>
      </c>
    </row>
    <row r="25" spans="2:10" ht="15.75" thickBot="1" x14ac:dyDescent="0.3">
      <c r="B25" s="12" t="s">
        <v>15</v>
      </c>
      <c r="C25" s="34">
        <v>3.3</v>
      </c>
      <c r="D25" s="30" t="s">
        <v>55</v>
      </c>
      <c r="E25" s="51">
        <v>1080</v>
      </c>
      <c r="F25" s="15">
        <f t="shared" si="0"/>
        <v>3564</v>
      </c>
    </row>
    <row r="26" spans="2:10" ht="15.75" thickBot="1" x14ac:dyDescent="0.3">
      <c r="B26" s="12" t="s">
        <v>15</v>
      </c>
      <c r="C26" s="34">
        <v>1</v>
      </c>
      <c r="D26" s="30" t="s">
        <v>55</v>
      </c>
      <c r="E26" s="51">
        <v>1030</v>
      </c>
      <c r="F26" s="15">
        <f t="shared" si="0"/>
        <v>1030</v>
      </c>
    </row>
    <row r="27" spans="2:10" ht="15.75" thickBot="1" x14ac:dyDescent="0.3">
      <c r="B27" s="12" t="s">
        <v>15</v>
      </c>
      <c r="C27" s="34">
        <v>1.0449999999999999</v>
      </c>
      <c r="D27" s="30" t="s">
        <v>55</v>
      </c>
      <c r="E27" s="51">
        <v>1030</v>
      </c>
      <c r="F27" s="15">
        <f t="shared" si="0"/>
        <v>1076.3499999999999</v>
      </c>
    </row>
    <row r="28" spans="2:10" ht="15.75" thickBot="1" x14ac:dyDescent="0.3">
      <c r="B28" s="12" t="s">
        <v>15</v>
      </c>
      <c r="C28" s="34">
        <v>0.98499999999999999</v>
      </c>
      <c r="D28" s="30" t="s">
        <v>55</v>
      </c>
      <c r="E28" s="51">
        <v>1030</v>
      </c>
      <c r="F28" s="15">
        <f t="shared" si="0"/>
        <v>1014.55</v>
      </c>
    </row>
    <row r="29" spans="2:10" ht="15.75" thickBot="1" x14ac:dyDescent="0.3">
      <c r="B29" s="12" t="s">
        <v>15</v>
      </c>
      <c r="C29" s="34">
        <v>1.03</v>
      </c>
      <c r="D29" s="30" t="s">
        <v>55</v>
      </c>
      <c r="E29" s="51">
        <v>1030</v>
      </c>
      <c r="F29" s="15">
        <f t="shared" si="0"/>
        <v>1060.9000000000001</v>
      </c>
    </row>
    <row r="30" spans="2:10" ht="15.75" thickBot="1" x14ac:dyDescent="0.3">
      <c r="B30" s="12" t="s">
        <v>15</v>
      </c>
      <c r="C30" s="34">
        <v>1.125</v>
      </c>
      <c r="D30" s="30" t="s">
        <v>55</v>
      </c>
      <c r="E30" s="51">
        <v>1030</v>
      </c>
      <c r="F30" s="15">
        <f t="shared" si="0"/>
        <v>1158.75</v>
      </c>
    </row>
    <row r="31" spans="2:10" ht="15.75" thickBot="1" x14ac:dyDescent="0.3">
      <c r="C31" s="62">
        <f>SUM(C18:C30)</f>
        <v>25.475000000000001</v>
      </c>
      <c r="E31" s="35" t="s">
        <v>78</v>
      </c>
      <c r="F31" s="22">
        <f>SUM(F18:F30)</f>
        <v>26635.600000000002</v>
      </c>
    </row>
    <row r="32" spans="2:10" x14ac:dyDescent="0.25">
      <c r="C32" s="58"/>
      <c r="D32" s="59"/>
      <c r="E32" s="60"/>
      <c r="F32" s="61"/>
    </row>
    <row r="34" spans="2:11" x14ac:dyDescent="0.25">
      <c r="B34" s="23" t="s">
        <v>80</v>
      </c>
      <c r="C34" s="24"/>
      <c r="D34" s="24"/>
      <c r="E34" s="24"/>
    </row>
    <row r="35" spans="2:11" x14ac:dyDescent="0.25">
      <c r="B35" s="25"/>
      <c r="C35" s="24"/>
      <c r="D35" s="24"/>
      <c r="E35" s="24"/>
    </row>
    <row r="36" spans="2:11" x14ac:dyDescent="0.25">
      <c r="B36" s="26"/>
      <c r="C36" s="24"/>
      <c r="D36" s="26" t="s">
        <v>64</v>
      </c>
      <c r="E36" s="24"/>
    </row>
    <row r="37" spans="2:11" x14ac:dyDescent="0.25">
      <c r="B37" s="26"/>
      <c r="C37" s="24"/>
      <c r="D37" s="24"/>
      <c r="E37" s="24"/>
    </row>
    <row r="38" spans="2:11" x14ac:dyDescent="0.25">
      <c r="B38" s="26" t="s">
        <v>74</v>
      </c>
      <c r="C38" s="24"/>
      <c r="D38" s="26" t="s">
        <v>65</v>
      </c>
      <c r="E38" s="24"/>
    </row>
    <row r="39" spans="2:11" x14ac:dyDescent="0.25">
      <c r="B39" s="26"/>
      <c r="C39" s="24"/>
      <c r="D39" s="26" t="s">
        <v>66</v>
      </c>
      <c r="E39" s="24"/>
    </row>
    <row r="41" spans="2:11" ht="18.75" customHeight="1" x14ac:dyDescent="0.25"/>
    <row r="43" spans="2:11" ht="9" customHeight="1" x14ac:dyDescent="0.25"/>
    <row r="44" spans="2:11" hidden="1" x14ac:dyDescent="0.25"/>
    <row r="45" spans="2:11" x14ac:dyDescent="0.25">
      <c r="J45" s="73"/>
      <c r="K45" s="73"/>
    </row>
    <row r="67" spans="2:11" x14ac:dyDescent="0.25">
      <c r="B67" s="73"/>
      <c r="C67" s="73"/>
      <c r="D67" s="73"/>
      <c r="E67" s="73"/>
      <c r="F67" s="73"/>
    </row>
    <row r="68" spans="2:11" ht="102.75" customHeight="1" x14ac:dyDescent="0.25">
      <c r="B68" s="73"/>
      <c r="C68" s="73"/>
      <c r="D68" s="73"/>
      <c r="E68" s="73"/>
      <c r="F68" s="73"/>
    </row>
    <row r="69" spans="2:11" x14ac:dyDescent="0.25">
      <c r="B69" s="73"/>
      <c r="C69" s="73"/>
      <c r="D69" s="73"/>
      <c r="E69" s="73"/>
      <c r="F69" s="73"/>
    </row>
    <row r="70" spans="2:11" ht="69.75" customHeight="1" x14ac:dyDescent="0.25">
      <c r="B70" s="73"/>
      <c r="C70" s="73"/>
      <c r="D70" s="73"/>
      <c r="E70" s="73"/>
      <c r="F70" s="73"/>
    </row>
    <row r="71" spans="2:11" x14ac:dyDescent="0.25">
      <c r="J71" s="73"/>
      <c r="K71" s="73"/>
    </row>
  </sheetData>
  <protectedRanges>
    <protectedRange algorithmName="SHA-512" hashValue="poroQ6AOCp+PrXUU2E1NErYIFQH5Vb3rJFa5nEtjHcNd2xSuKk5xyHjxyYSj0ALpLP6WOSx/b1qjw/2zF/GuYQ==" saltValue="BNE7NYaoREnSby9ppJtTLw==" spinCount="100000" sqref="C15 C47 C73" name="Rango3"/>
    <protectedRange algorithmName="SHA-512" hashValue="tUGEn7omUASg2YnQUJFND+3qd4CF5BwoMj/cO/PA5wQF78Nm09A5xeFuei1S8jh1bhgAFdQbH1BhWbmB36F/gA==" saltValue="u/5i146fT7pcplAmbBqlww==" spinCount="100000" sqref="F50:F53 F76:F97 F18:F32" name="Rango2"/>
    <protectedRange algorithmName="SHA-512" hashValue="Fy74vzPqavg1HALyDiBARtZGduGibbQdzXJe+BveEjcDaIaSKVQYGdBygGaDWkJoeeVlREXXbIlDQeT5XgK+1A==" saltValue="3DEii5LrexWdXZ4VPlmQPg==" spinCount="100000" sqref="I13:J16 J45:K48 J71:K74" name="Rango1"/>
  </protectedRanges>
  <mergeCells count="7">
    <mergeCell ref="J71:K71"/>
    <mergeCell ref="B9:F10"/>
    <mergeCell ref="B11:F12"/>
    <mergeCell ref="I13:J13"/>
    <mergeCell ref="J45:K45"/>
    <mergeCell ref="B67:F68"/>
    <mergeCell ref="B69:F70"/>
  </mergeCells>
  <dataValidations count="2">
    <dataValidation type="list" allowBlank="1" showInputMessage="1" showErrorMessage="1" sqref="B64" xr:uid="{1027F87A-DE51-4062-A230-59F289FC29F9}">
      <formula1>$B$6:$B$7</formula1>
    </dataValidation>
    <dataValidation type="list" allowBlank="1" showInputMessage="1" showErrorMessage="1" sqref="C14 C72" xr:uid="{4A63209B-61A9-4A52-8D3A-BE292B18DE21}">
      <formula1>$D$14:$F$14</formula1>
    </dataValidation>
  </dataValidations>
  <pageMargins left="0.23622047244094491" right="0.23622047244094491" top="0.94488188976377963" bottom="0.74803149606299213" header="0.31496062992125984" footer="0.31496062992125984"/>
  <pageSetup scale="86" fitToHeight="0" orientation="portrait" r:id="rId1"/>
  <rowBreaks count="2" manualBreakCount="2">
    <brk id="40" min="1" max="5" man="1"/>
    <brk id="63" max="5" man="1"/>
  </rowBreaks>
  <colBreaks count="2" manualBreakCount="2">
    <brk id="1" min="39" max="75" man="1"/>
    <brk id="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0BD84-CCE3-49C6-A22C-2EE6F2B5CC26}">
  <sheetPr>
    <pageSetUpPr fitToPage="1"/>
  </sheetPr>
  <dimension ref="B6:K60"/>
  <sheetViews>
    <sheetView topLeftCell="A9" zoomScaleNormal="100" workbookViewId="0">
      <selection activeCell="B18" sqref="B18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87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5" t="s">
        <v>92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$F$20</f>
        <v>25380</v>
      </c>
    </row>
    <row r="15" spans="2:10" x14ac:dyDescent="0.25">
      <c r="B15" t="s">
        <v>52</v>
      </c>
      <c r="C15" s="8">
        <f>+F20*J17</f>
        <v>87.908147639999996</v>
      </c>
      <c r="D15" s="52" t="s">
        <v>77</v>
      </c>
      <c r="I15" t="s">
        <v>54</v>
      </c>
      <c r="J15">
        <f>+C20</f>
        <v>25.38</v>
      </c>
    </row>
    <row r="16" spans="2:10" ht="15.75" thickBot="1" x14ac:dyDescent="0.3">
      <c r="D16" s="4" t="s">
        <v>55</v>
      </c>
      <c r="I16" t="s">
        <v>56</v>
      </c>
      <c r="J16" s="9"/>
    </row>
    <row r="17" spans="2:10" ht="16.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J17" s="63">
        <v>3.463678E-3</v>
      </c>
    </row>
    <row r="18" spans="2:10" ht="15.75" thickBot="1" x14ac:dyDescent="0.3">
      <c r="B18" s="12" t="s">
        <v>15</v>
      </c>
      <c r="C18" s="17">
        <v>2.82</v>
      </c>
      <c r="D18" s="13" t="s">
        <v>55</v>
      </c>
      <c r="E18" s="51">
        <v>1000</v>
      </c>
      <c r="F18" s="15">
        <f>+C18*E18</f>
        <v>2820</v>
      </c>
    </row>
    <row r="19" spans="2:10" ht="15.75" thickBot="1" x14ac:dyDescent="0.3">
      <c r="B19" s="12" t="s">
        <v>15</v>
      </c>
      <c r="C19" s="17">
        <v>22.56</v>
      </c>
      <c r="D19" s="13" t="s">
        <v>55</v>
      </c>
      <c r="E19" s="51">
        <v>1000</v>
      </c>
      <c r="F19" s="15">
        <f t="shared" ref="F19" si="0">+C19*E19</f>
        <v>22560</v>
      </c>
    </row>
    <row r="20" spans="2:10" ht="15.75" thickBot="1" x14ac:dyDescent="0.3">
      <c r="C20" s="62">
        <f>SUM(C18:C19)</f>
        <v>25.38</v>
      </c>
      <c r="E20" s="35" t="s">
        <v>78</v>
      </c>
      <c r="F20" s="22">
        <f>SUM(F18:F19)</f>
        <v>25380</v>
      </c>
    </row>
    <row r="21" spans="2:10" x14ac:dyDescent="0.25">
      <c r="C21" s="58"/>
      <c r="D21" s="59"/>
      <c r="E21" s="60"/>
      <c r="F21" s="61"/>
    </row>
    <row r="23" spans="2:10" x14ac:dyDescent="0.25">
      <c r="B23" s="23" t="s">
        <v>80</v>
      </c>
      <c r="C23" s="24"/>
      <c r="D23" s="24"/>
      <c r="E23" s="24"/>
    </row>
    <row r="24" spans="2:10" x14ac:dyDescent="0.25">
      <c r="B24" s="25"/>
      <c r="C24" s="24"/>
      <c r="D24" s="24"/>
      <c r="E24" s="24"/>
    </row>
    <row r="25" spans="2:10" x14ac:dyDescent="0.25">
      <c r="B25" s="26"/>
      <c r="C25" s="24"/>
      <c r="D25" s="26" t="s">
        <v>64</v>
      </c>
      <c r="E25" s="24"/>
    </row>
    <row r="26" spans="2:10" x14ac:dyDescent="0.25">
      <c r="B26" s="26"/>
      <c r="C26" s="24"/>
      <c r="D26" s="24"/>
      <c r="E26" s="24"/>
    </row>
    <row r="27" spans="2:10" x14ac:dyDescent="0.25">
      <c r="B27" s="26" t="s">
        <v>74</v>
      </c>
      <c r="C27" s="24"/>
      <c r="D27" s="26" t="s">
        <v>65</v>
      </c>
      <c r="E27" s="24"/>
    </row>
    <row r="28" spans="2:10" x14ac:dyDescent="0.25">
      <c r="B28" s="26"/>
      <c r="C28" s="24"/>
      <c r="D28" s="26" t="s">
        <v>66</v>
      </c>
      <c r="E28" s="24"/>
    </row>
    <row r="30" spans="2:10" ht="18.75" customHeight="1" x14ac:dyDescent="0.25"/>
    <row r="32" spans="2:10" ht="9" customHeight="1" x14ac:dyDescent="0.25"/>
    <row r="33" spans="10:11" hidden="1" x14ac:dyDescent="0.25"/>
    <row r="34" spans="10:11" x14ac:dyDescent="0.25">
      <c r="J34" s="73"/>
      <c r="K34" s="73"/>
    </row>
    <row r="56" spans="2:11" x14ac:dyDescent="0.25">
      <c r="B56" s="73"/>
      <c r="C56" s="73"/>
      <c r="D56" s="73"/>
      <c r="E56" s="73"/>
      <c r="F56" s="73"/>
    </row>
    <row r="57" spans="2:11" ht="102.75" customHeight="1" x14ac:dyDescent="0.25">
      <c r="B57" s="73"/>
      <c r="C57" s="73"/>
      <c r="D57" s="73"/>
      <c r="E57" s="73"/>
      <c r="F57" s="73"/>
    </row>
    <row r="58" spans="2:11" x14ac:dyDescent="0.25">
      <c r="B58" s="73"/>
      <c r="C58" s="73"/>
      <c r="D58" s="73"/>
      <c r="E58" s="73"/>
      <c r="F58" s="73"/>
    </row>
    <row r="59" spans="2:11" ht="69.75" customHeight="1" x14ac:dyDescent="0.25">
      <c r="B59" s="73"/>
      <c r="C59" s="73"/>
      <c r="D59" s="73"/>
      <c r="E59" s="73"/>
      <c r="F59" s="73"/>
    </row>
    <row r="60" spans="2:11" x14ac:dyDescent="0.25">
      <c r="J60" s="73"/>
      <c r="K60" s="73"/>
    </row>
  </sheetData>
  <protectedRanges>
    <protectedRange algorithmName="SHA-512" hashValue="poroQ6AOCp+PrXUU2E1NErYIFQH5Vb3rJFa5nEtjHcNd2xSuKk5xyHjxyYSj0ALpLP6WOSx/b1qjw/2zF/GuYQ==" saltValue="BNE7NYaoREnSby9ppJtTLw==" spinCount="100000" sqref="C15 C36 C62" name="Rango3"/>
    <protectedRange algorithmName="SHA-512" hashValue="tUGEn7omUASg2YnQUJFND+3qd4CF5BwoMj/cO/PA5wQF78Nm09A5xeFuei1S8jh1bhgAFdQbH1BhWbmB36F/gA==" saltValue="u/5i146fT7pcplAmbBqlww==" spinCount="100000" sqref="F39:F42 F65:F86 F18:F21" name="Rango2"/>
    <protectedRange algorithmName="SHA-512" hashValue="Fy74vzPqavg1HALyDiBARtZGduGibbQdzXJe+BveEjcDaIaSKVQYGdBygGaDWkJoeeVlREXXbIlDQeT5XgK+1A==" saltValue="3DEii5LrexWdXZ4VPlmQPg==" spinCount="100000" sqref="I13:J16 J34:K37 J60:K63" name="Rango1"/>
  </protectedRanges>
  <mergeCells count="7">
    <mergeCell ref="J60:K60"/>
    <mergeCell ref="B9:F10"/>
    <mergeCell ref="B11:F12"/>
    <mergeCell ref="I13:J13"/>
    <mergeCell ref="J34:K34"/>
    <mergeCell ref="B56:F57"/>
    <mergeCell ref="B58:F59"/>
  </mergeCells>
  <dataValidations count="2">
    <dataValidation type="list" allowBlank="1" showInputMessage="1" showErrorMessage="1" sqref="C14 C61" xr:uid="{2CD90B2B-8BED-4757-AA90-65A330753ED1}">
      <formula1>$D$14:$F$14</formula1>
    </dataValidation>
    <dataValidation type="list" allowBlank="1" showInputMessage="1" showErrorMessage="1" sqref="B53" xr:uid="{4D953A90-5AE1-41F1-BA5D-FCB6A94C8341}">
      <formula1>$B$6:$B$7</formula1>
    </dataValidation>
  </dataValidations>
  <pageMargins left="0.23622047244094491" right="0.23622047244094491" top="0.94488188976377963" bottom="0.74803149606299213" header="0.31496062992125984" footer="0.31496062992125984"/>
  <pageSetup fitToHeight="0" orientation="portrait" r:id="rId1"/>
  <rowBreaks count="2" manualBreakCount="2">
    <brk id="29" min="1" max="5" man="1"/>
    <brk id="52" max="5" man="1"/>
  </rowBreaks>
  <colBreaks count="2" manualBreakCount="2">
    <brk id="1" min="28" max="64" man="1"/>
    <brk id="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0AD56-FBF2-4ED2-BCCC-EE988FBA6668}">
  <sheetPr>
    <pageSetUpPr fitToPage="1"/>
  </sheetPr>
  <dimension ref="B6:K68"/>
  <sheetViews>
    <sheetView topLeftCell="A9" zoomScaleNormal="100" workbookViewId="0">
      <selection activeCell="B18" sqref="B18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87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5" t="s">
        <v>93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$F$28</f>
        <v>25875.640000000003</v>
      </c>
    </row>
    <row r="15" spans="2:10" x14ac:dyDescent="0.25">
      <c r="B15" t="s">
        <v>52</v>
      </c>
      <c r="C15" s="8">
        <f>+F28*J17</f>
        <v>89.624885003920014</v>
      </c>
      <c r="D15" s="52" t="s">
        <v>77</v>
      </c>
      <c r="I15" t="s">
        <v>54</v>
      </c>
      <c r="J15">
        <f>+C28</f>
        <v>24.812999999999999</v>
      </c>
    </row>
    <row r="16" spans="2:10" ht="15.75" thickBot="1" x14ac:dyDescent="0.3">
      <c r="D16" s="4" t="s">
        <v>55</v>
      </c>
      <c r="I16" t="s">
        <v>56</v>
      </c>
      <c r="J16" s="9"/>
    </row>
    <row r="17" spans="2:10" ht="16.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J17" s="63">
        <v>3.463678E-3</v>
      </c>
    </row>
    <row r="18" spans="2:10" ht="15.75" thickBot="1" x14ac:dyDescent="0.3">
      <c r="B18" s="12" t="s">
        <v>15</v>
      </c>
      <c r="C18" s="17">
        <v>4.2300000000000004</v>
      </c>
      <c r="D18" s="13" t="s">
        <v>55</v>
      </c>
      <c r="E18" s="51">
        <v>1000</v>
      </c>
      <c r="F18" s="15">
        <f>+C18*E18</f>
        <v>4230</v>
      </c>
    </row>
    <row r="19" spans="2:10" ht="15.75" thickBot="1" x14ac:dyDescent="0.3">
      <c r="B19" s="12" t="s">
        <v>15</v>
      </c>
      <c r="C19" s="17">
        <v>2.0680000000000001</v>
      </c>
      <c r="D19" s="13" t="s">
        <v>55</v>
      </c>
      <c r="E19" s="51">
        <v>1030</v>
      </c>
      <c r="F19" s="15">
        <f t="shared" ref="F19:F27" si="0">+C19*E19</f>
        <v>2130.04</v>
      </c>
    </row>
    <row r="20" spans="2:10" ht="15.75" thickBot="1" x14ac:dyDescent="0.3">
      <c r="B20" s="12" t="s">
        <v>15</v>
      </c>
      <c r="C20" s="34">
        <v>6.66</v>
      </c>
      <c r="D20" s="13" t="s">
        <v>55</v>
      </c>
      <c r="E20" s="51">
        <v>1030</v>
      </c>
      <c r="F20" s="15">
        <f t="shared" si="0"/>
        <v>6859.8</v>
      </c>
    </row>
    <row r="21" spans="2:10" ht="15.75" thickBot="1" x14ac:dyDescent="0.3">
      <c r="B21" s="12" t="s">
        <v>15</v>
      </c>
      <c r="C21" s="34">
        <v>1.0449999999999999</v>
      </c>
      <c r="D21" s="13" t="s">
        <v>55</v>
      </c>
      <c r="E21" s="51">
        <v>1030</v>
      </c>
      <c r="F21" s="15">
        <f t="shared" si="0"/>
        <v>1076.3499999999999</v>
      </c>
    </row>
    <row r="22" spans="2:10" ht="15.75" thickBot="1" x14ac:dyDescent="0.3">
      <c r="B22" s="12" t="s">
        <v>15</v>
      </c>
      <c r="C22" s="44">
        <v>1.1000000000000001</v>
      </c>
      <c r="D22" s="13" t="s">
        <v>55</v>
      </c>
      <c r="E22" s="51">
        <v>1030</v>
      </c>
      <c r="F22" s="15">
        <f t="shared" si="0"/>
        <v>1133</v>
      </c>
    </row>
    <row r="23" spans="2:10" ht="15.75" thickBot="1" x14ac:dyDescent="0.3">
      <c r="B23" s="12" t="s">
        <v>15</v>
      </c>
      <c r="C23" s="44">
        <v>1.0649999999999999</v>
      </c>
      <c r="D23" s="13" t="s">
        <v>55</v>
      </c>
      <c r="E23" s="51">
        <v>1090</v>
      </c>
      <c r="F23" s="15">
        <f t="shared" si="0"/>
        <v>1160.8499999999999</v>
      </c>
    </row>
    <row r="24" spans="2:10" ht="15.75" thickBot="1" x14ac:dyDescent="0.3">
      <c r="B24" s="12" t="s">
        <v>15</v>
      </c>
      <c r="C24" s="44">
        <v>1.1200000000000001</v>
      </c>
      <c r="D24" s="13" t="s">
        <v>55</v>
      </c>
      <c r="E24" s="51">
        <v>1090</v>
      </c>
      <c r="F24" s="15">
        <f t="shared" si="0"/>
        <v>1220.8000000000002</v>
      </c>
    </row>
    <row r="25" spans="2:10" ht="15.75" thickBot="1" x14ac:dyDescent="0.3">
      <c r="B25" s="12" t="s">
        <v>15</v>
      </c>
      <c r="C25" s="44">
        <v>2.2400000000000002</v>
      </c>
      <c r="D25" s="13" t="s">
        <v>55</v>
      </c>
      <c r="E25" s="51">
        <v>1090</v>
      </c>
      <c r="F25" s="15">
        <f t="shared" si="0"/>
        <v>2441.6000000000004</v>
      </c>
    </row>
    <row r="26" spans="2:10" ht="15.75" thickBot="1" x14ac:dyDescent="0.3">
      <c r="B26" s="12" t="s">
        <v>15</v>
      </c>
      <c r="C26" s="44">
        <v>1.0549999999999999</v>
      </c>
      <c r="D26" s="13" t="s">
        <v>55</v>
      </c>
      <c r="E26" s="51">
        <v>1080</v>
      </c>
      <c r="F26" s="15">
        <f t="shared" si="0"/>
        <v>1139.3999999999999</v>
      </c>
    </row>
    <row r="27" spans="2:10" ht="15.75" thickBot="1" x14ac:dyDescent="0.3">
      <c r="B27" s="12" t="s">
        <v>15</v>
      </c>
      <c r="C27" s="44">
        <v>4.2300000000000004</v>
      </c>
      <c r="D27" s="13" t="s">
        <v>55</v>
      </c>
      <c r="E27" s="51">
        <v>1060</v>
      </c>
      <c r="F27" s="15">
        <f t="shared" si="0"/>
        <v>4483.8</v>
      </c>
    </row>
    <row r="28" spans="2:10" ht="15.75" thickBot="1" x14ac:dyDescent="0.3">
      <c r="C28" s="45">
        <f>SUM(C18:C27)</f>
        <v>24.812999999999999</v>
      </c>
      <c r="E28" s="35" t="s">
        <v>78</v>
      </c>
      <c r="F28" s="22">
        <f>SUM(F18:F27)</f>
        <v>25875.640000000003</v>
      </c>
    </row>
    <row r="29" spans="2:10" x14ac:dyDescent="0.25">
      <c r="C29" s="58"/>
      <c r="D29" s="59"/>
      <c r="E29" s="60"/>
      <c r="F29" s="61"/>
    </row>
    <row r="31" spans="2:10" x14ac:dyDescent="0.25">
      <c r="B31" s="23" t="s">
        <v>80</v>
      </c>
      <c r="C31" s="24"/>
      <c r="D31" s="24"/>
      <c r="E31" s="24"/>
    </row>
    <row r="32" spans="2:10" x14ac:dyDescent="0.25">
      <c r="B32" s="25"/>
      <c r="C32" s="24"/>
      <c r="D32" s="24"/>
      <c r="E32" s="24"/>
    </row>
    <row r="33" spans="2:11" x14ac:dyDescent="0.25">
      <c r="B33" s="26"/>
      <c r="C33" s="24"/>
      <c r="D33" s="26" t="s">
        <v>64</v>
      </c>
      <c r="E33" s="24"/>
    </row>
    <row r="34" spans="2:11" x14ac:dyDescent="0.25">
      <c r="B34" s="26"/>
      <c r="C34" s="24"/>
      <c r="D34" s="24"/>
      <c r="E34" s="24"/>
    </row>
    <row r="35" spans="2:11" x14ac:dyDescent="0.25">
      <c r="B35" s="26" t="s">
        <v>74</v>
      </c>
      <c r="C35" s="24"/>
      <c r="D35" s="26" t="s">
        <v>65</v>
      </c>
      <c r="E35" s="24"/>
    </row>
    <row r="36" spans="2:11" x14ac:dyDescent="0.25">
      <c r="B36" s="26"/>
      <c r="C36" s="24"/>
      <c r="D36" s="26" t="s">
        <v>66</v>
      </c>
      <c r="E36" s="24"/>
    </row>
    <row r="38" spans="2:11" ht="18.75" customHeight="1" x14ac:dyDescent="0.25"/>
    <row r="40" spans="2:11" ht="9" customHeight="1" x14ac:dyDescent="0.25"/>
    <row r="41" spans="2:11" hidden="1" x14ac:dyDescent="0.25"/>
    <row r="42" spans="2:11" x14ac:dyDescent="0.25">
      <c r="J42" s="73"/>
      <c r="K42" s="73"/>
    </row>
    <row r="64" spans="2:6" x14ac:dyDescent="0.25">
      <c r="B64" s="73"/>
      <c r="C64" s="73"/>
      <c r="D64" s="73"/>
      <c r="E64" s="73"/>
      <c r="F64" s="73"/>
    </row>
    <row r="65" spans="2:11" ht="102.75" customHeight="1" x14ac:dyDescent="0.25">
      <c r="B65" s="73"/>
      <c r="C65" s="73"/>
      <c r="D65" s="73"/>
      <c r="E65" s="73"/>
      <c r="F65" s="73"/>
    </row>
    <row r="66" spans="2:11" x14ac:dyDescent="0.25">
      <c r="B66" s="73"/>
      <c r="C66" s="73"/>
      <c r="D66" s="73"/>
      <c r="E66" s="73"/>
      <c r="F66" s="73"/>
    </row>
    <row r="67" spans="2:11" ht="69.75" customHeight="1" x14ac:dyDescent="0.25">
      <c r="B67" s="73"/>
      <c r="C67" s="73"/>
      <c r="D67" s="73"/>
      <c r="E67" s="73"/>
      <c r="F67" s="73"/>
    </row>
    <row r="68" spans="2:11" x14ac:dyDescent="0.25">
      <c r="J68" s="73"/>
      <c r="K68" s="73"/>
    </row>
  </sheetData>
  <protectedRanges>
    <protectedRange algorithmName="SHA-512" hashValue="poroQ6AOCp+PrXUU2E1NErYIFQH5Vb3rJFa5nEtjHcNd2xSuKk5xyHjxyYSj0ALpLP6WOSx/b1qjw/2zF/GuYQ==" saltValue="BNE7NYaoREnSby9ppJtTLw==" spinCount="100000" sqref="C15 C44 C70" name="Rango3"/>
    <protectedRange algorithmName="SHA-512" hashValue="tUGEn7omUASg2YnQUJFND+3qd4CF5BwoMj/cO/PA5wQF78Nm09A5xeFuei1S8jh1bhgAFdQbH1BhWbmB36F/gA==" saltValue="u/5i146fT7pcplAmbBqlww==" spinCount="100000" sqref="F47:F50 F73:F94 F18:F29" name="Rango2"/>
    <protectedRange algorithmName="SHA-512" hashValue="Fy74vzPqavg1HALyDiBARtZGduGibbQdzXJe+BveEjcDaIaSKVQYGdBygGaDWkJoeeVlREXXbIlDQeT5XgK+1A==" saltValue="3DEii5LrexWdXZ4VPlmQPg==" spinCount="100000" sqref="I13:J16 J42:K45 J68:K71" name="Rango1"/>
  </protectedRanges>
  <mergeCells count="7">
    <mergeCell ref="J68:K68"/>
    <mergeCell ref="B9:F10"/>
    <mergeCell ref="B11:F12"/>
    <mergeCell ref="I13:J13"/>
    <mergeCell ref="J42:K42"/>
    <mergeCell ref="B64:F65"/>
    <mergeCell ref="B66:F67"/>
  </mergeCells>
  <dataValidations count="2">
    <dataValidation type="list" allowBlank="1" showInputMessage="1" showErrorMessage="1" sqref="B61" xr:uid="{28563CCA-CA2A-4EA8-89A7-21EED0D00DA6}">
      <formula1>$B$6:$B$7</formula1>
    </dataValidation>
    <dataValidation type="list" allowBlank="1" showInputMessage="1" showErrorMessage="1" sqref="C14 C69" xr:uid="{57BF58DA-44D9-4215-90AC-14EFA1802823}">
      <formula1>$D$14:$F$14</formula1>
    </dataValidation>
  </dataValidations>
  <pageMargins left="0.23622047244094491" right="0.23622047244094491" top="0.94488188976377963" bottom="0.74803149606299213" header="0.31496062992125984" footer="0.31496062992125984"/>
  <pageSetup fitToHeight="0" orientation="portrait" r:id="rId1"/>
  <rowBreaks count="2" manualBreakCount="2">
    <brk id="37" min="1" max="5" man="1"/>
    <brk id="60" max="5" man="1"/>
  </rowBreaks>
  <colBreaks count="2" manualBreakCount="2">
    <brk id="1" min="36" max="72" man="1"/>
    <brk id="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62516-27AD-4632-A748-60B8236490DD}">
  <sheetPr>
    <pageSetUpPr fitToPage="1"/>
  </sheetPr>
  <dimension ref="B6:K78"/>
  <sheetViews>
    <sheetView topLeftCell="A14" zoomScaleNormal="100" workbookViewId="0">
      <selection activeCell="F24" sqref="F24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87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5" t="s">
        <v>94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$F$38</f>
        <v>27871.26</v>
      </c>
    </row>
    <row r="15" spans="2:10" x14ac:dyDescent="0.25">
      <c r="B15" t="s">
        <v>52</v>
      </c>
      <c r="C15" s="8">
        <f>+F38*J17</f>
        <v>96.537070094279997</v>
      </c>
      <c r="D15" s="52" t="s">
        <v>77</v>
      </c>
      <c r="I15" t="s">
        <v>54</v>
      </c>
      <c r="J15">
        <f>+C38</f>
        <v>25.119</v>
      </c>
    </row>
    <row r="16" spans="2:10" ht="15.75" thickBot="1" x14ac:dyDescent="0.3">
      <c r="D16" s="4" t="s">
        <v>55</v>
      </c>
      <c r="I16" t="s">
        <v>56</v>
      </c>
      <c r="J16" s="9"/>
    </row>
    <row r="17" spans="2:10" ht="16.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J17" s="63">
        <v>3.463678E-3</v>
      </c>
    </row>
    <row r="18" spans="2:10" ht="15.75" thickBot="1" x14ac:dyDescent="0.3">
      <c r="B18" s="12" t="s">
        <v>15</v>
      </c>
      <c r="C18" s="17">
        <v>1.0049999999999999</v>
      </c>
      <c r="D18" s="13" t="s">
        <v>55</v>
      </c>
      <c r="E18" s="14">
        <v>1060</v>
      </c>
      <c r="F18" s="15">
        <f>+C18*E18</f>
        <v>1065.3</v>
      </c>
    </row>
    <row r="19" spans="2:10" ht="15.75" thickBot="1" x14ac:dyDescent="0.3">
      <c r="B19" s="12" t="s">
        <v>15</v>
      </c>
      <c r="C19" s="17">
        <v>1.1100000000000001</v>
      </c>
      <c r="D19" s="13" t="s">
        <v>55</v>
      </c>
      <c r="E19" s="14">
        <v>1020</v>
      </c>
      <c r="F19" s="15">
        <f t="shared" ref="F19:F37" si="0">+C19*E19</f>
        <v>1132.2</v>
      </c>
    </row>
    <row r="20" spans="2:10" ht="24.75" thickBot="1" x14ac:dyDescent="0.3">
      <c r="B20" s="33" t="s">
        <v>11</v>
      </c>
      <c r="C20" s="34">
        <v>1.02</v>
      </c>
      <c r="D20" s="13" t="s">
        <v>55</v>
      </c>
      <c r="E20" s="14">
        <v>1230</v>
      </c>
      <c r="F20" s="15">
        <f t="shared" si="0"/>
        <v>1254.5999999999999</v>
      </c>
    </row>
    <row r="21" spans="2:10" ht="15.75" thickBot="1" x14ac:dyDescent="0.3">
      <c r="B21" s="12" t="s">
        <v>15</v>
      </c>
      <c r="C21" s="34">
        <v>1.085</v>
      </c>
      <c r="D21" s="13" t="s">
        <v>55</v>
      </c>
      <c r="E21" s="14">
        <v>1030</v>
      </c>
      <c r="F21" s="15">
        <f t="shared" si="0"/>
        <v>1117.55</v>
      </c>
    </row>
    <row r="22" spans="2:10" ht="15.75" thickBot="1" x14ac:dyDescent="0.3">
      <c r="B22" s="12" t="s">
        <v>15</v>
      </c>
      <c r="C22" s="44">
        <v>2.13</v>
      </c>
      <c r="D22" s="13" t="s">
        <v>55</v>
      </c>
      <c r="E22" s="14">
        <v>1030</v>
      </c>
      <c r="F22" s="15">
        <f t="shared" si="0"/>
        <v>2193.9</v>
      </c>
    </row>
    <row r="23" spans="2:10" ht="15.75" thickBot="1" x14ac:dyDescent="0.3">
      <c r="B23" s="12" t="s">
        <v>15</v>
      </c>
      <c r="C23" s="44">
        <v>1.034</v>
      </c>
      <c r="D23" s="13" t="s">
        <v>55</v>
      </c>
      <c r="E23" s="14">
        <v>1090</v>
      </c>
      <c r="F23" s="15">
        <f t="shared" si="0"/>
        <v>1127.06</v>
      </c>
    </row>
    <row r="24" spans="2:10" ht="15.75" thickBot="1" x14ac:dyDescent="0.3">
      <c r="B24" s="12" t="s">
        <v>15</v>
      </c>
      <c r="C24" s="44">
        <v>1.08</v>
      </c>
      <c r="D24" s="13" t="s">
        <v>55</v>
      </c>
      <c r="E24" s="14">
        <v>1200</v>
      </c>
      <c r="F24" s="15">
        <f t="shared" si="0"/>
        <v>1296</v>
      </c>
    </row>
    <row r="25" spans="2:10" ht="15.75" thickBot="1" x14ac:dyDescent="0.3">
      <c r="B25" s="12" t="s">
        <v>15</v>
      </c>
      <c r="C25" s="44">
        <v>1.1100000000000001</v>
      </c>
      <c r="D25" s="13" t="s">
        <v>55</v>
      </c>
      <c r="E25" s="14">
        <v>1090</v>
      </c>
      <c r="F25" s="15">
        <f t="shared" si="0"/>
        <v>1209.9000000000001</v>
      </c>
    </row>
    <row r="26" spans="2:10" ht="15.75" thickBot="1" x14ac:dyDescent="0.3">
      <c r="B26" s="12" t="s">
        <v>15</v>
      </c>
      <c r="C26" s="44">
        <v>1.0049999999999999</v>
      </c>
      <c r="D26" s="13" t="s">
        <v>55</v>
      </c>
      <c r="E26" s="14">
        <v>1200</v>
      </c>
      <c r="F26" s="15">
        <f t="shared" si="0"/>
        <v>1205.9999999999998</v>
      </c>
    </row>
    <row r="27" spans="2:10" ht="15.75" thickBot="1" x14ac:dyDescent="0.3">
      <c r="B27" s="12" t="s">
        <v>15</v>
      </c>
      <c r="C27" s="44">
        <v>1</v>
      </c>
      <c r="D27" s="13" t="s">
        <v>55</v>
      </c>
      <c r="E27" s="14">
        <v>1200</v>
      </c>
      <c r="F27" s="15">
        <f t="shared" si="0"/>
        <v>1200</v>
      </c>
    </row>
    <row r="28" spans="2:10" ht="15.75" thickBot="1" x14ac:dyDescent="0.3">
      <c r="B28" s="12" t="s">
        <v>15</v>
      </c>
      <c r="C28" s="34">
        <v>1.02</v>
      </c>
      <c r="D28" s="13" t="s">
        <v>55</v>
      </c>
      <c r="E28" s="14">
        <v>1180</v>
      </c>
      <c r="F28" s="15">
        <f t="shared" si="0"/>
        <v>1203.5999999999999</v>
      </c>
    </row>
    <row r="29" spans="2:10" ht="15.75" thickBot="1" x14ac:dyDescent="0.3">
      <c r="B29" s="12" t="s">
        <v>15</v>
      </c>
      <c r="C29" s="44">
        <v>1.0349999999999999</v>
      </c>
      <c r="D29" s="13" t="s">
        <v>55</v>
      </c>
      <c r="E29" s="14">
        <v>1090</v>
      </c>
      <c r="F29" s="15">
        <f t="shared" si="0"/>
        <v>1128.1499999999999</v>
      </c>
    </row>
    <row r="30" spans="2:10" ht="15.75" thickBot="1" x14ac:dyDescent="0.3">
      <c r="B30" s="12" t="s">
        <v>15</v>
      </c>
      <c r="C30" s="34">
        <v>1.04</v>
      </c>
      <c r="D30" s="13" t="s">
        <v>55</v>
      </c>
      <c r="E30" s="14">
        <v>1090</v>
      </c>
      <c r="F30" s="15">
        <f t="shared" si="0"/>
        <v>1133.6000000000001</v>
      </c>
    </row>
    <row r="31" spans="2:10" ht="15.75" thickBot="1" x14ac:dyDescent="0.3">
      <c r="B31" s="12" t="s">
        <v>15</v>
      </c>
      <c r="C31" s="44">
        <v>1.0549999999999999</v>
      </c>
      <c r="D31" s="13" t="s">
        <v>55</v>
      </c>
      <c r="E31" s="14">
        <v>1090</v>
      </c>
      <c r="F31" s="15">
        <f t="shared" si="0"/>
        <v>1149.95</v>
      </c>
    </row>
    <row r="32" spans="2:10" ht="15.75" thickBot="1" x14ac:dyDescent="0.3">
      <c r="B32" s="12" t="s">
        <v>15</v>
      </c>
      <c r="C32" s="44">
        <v>0.95499999999999996</v>
      </c>
      <c r="D32" s="13" t="s">
        <v>55</v>
      </c>
      <c r="E32" s="14">
        <v>1200</v>
      </c>
      <c r="F32" s="15">
        <f t="shared" si="0"/>
        <v>1146</v>
      </c>
    </row>
    <row r="33" spans="2:6" ht="15.75" thickBot="1" x14ac:dyDescent="0.3">
      <c r="B33" s="12" t="s">
        <v>15</v>
      </c>
      <c r="C33" s="44">
        <v>1.03</v>
      </c>
      <c r="D33" s="13" t="s">
        <v>55</v>
      </c>
      <c r="E33" s="14">
        <v>1200</v>
      </c>
      <c r="F33" s="15">
        <f t="shared" si="0"/>
        <v>1236</v>
      </c>
    </row>
    <row r="34" spans="2:6" ht="15.75" thickBot="1" x14ac:dyDescent="0.3">
      <c r="B34" s="12" t="s">
        <v>15</v>
      </c>
      <c r="C34" s="44">
        <v>0.995</v>
      </c>
      <c r="D34" s="13" t="s">
        <v>55</v>
      </c>
      <c r="E34" s="14">
        <v>1090</v>
      </c>
      <c r="F34" s="15">
        <f t="shared" si="0"/>
        <v>1084.55</v>
      </c>
    </row>
    <row r="35" spans="2:6" ht="15.75" thickBot="1" x14ac:dyDescent="0.3">
      <c r="B35" s="12" t="s">
        <v>15</v>
      </c>
      <c r="C35" s="44">
        <v>3.08</v>
      </c>
      <c r="D35" s="13" t="s">
        <v>55</v>
      </c>
      <c r="E35" s="14">
        <v>1090</v>
      </c>
      <c r="F35" s="15">
        <f t="shared" si="0"/>
        <v>3357.2000000000003</v>
      </c>
    </row>
    <row r="36" spans="2:6" ht="15.75" thickBot="1" x14ac:dyDescent="0.3">
      <c r="B36" s="12" t="s">
        <v>15</v>
      </c>
      <c r="C36" s="44">
        <v>2.27</v>
      </c>
      <c r="D36" s="13" t="s">
        <v>55</v>
      </c>
      <c r="E36" s="14">
        <v>1090</v>
      </c>
      <c r="F36" s="15">
        <f t="shared" si="0"/>
        <v>2474.3000000000002</v>
      </c>
    </row>
    <row r="37" spans="2:6" ht="15.75" thickBot="1" x14ac:dyDescent="0.3">
      <c r="B37" s="12" t="s">
        <v>15</v>
      </c>
      <c r="C37" s="44">
        <v>1.06</v>
      </c>
      <c r="D37" s="13" t="s">
        <v>55</v>
      </c>
      <c r="E37" s="14">
        <v>1090</v>
      </c>
      <c r="F37" s="15">
        <f t="shared" si="0"/>
        <v>1155.4000000000001</v>
      </c>
    </row>
    <row r="38" spans="2:6" ht="15.75" thickBot="1" x14ac:dyDescent="0.3">
      <c r="C38" s="45">
        <f>SUM(C18:C37)</f>
        <v>25.119</v>
      </c>
      <c r="E38" s="35" t="s">
        <v>78</v>
      </c>
      <c r="F38" s="22">
        <f>SUM(F18:F37)</f>
        <v>27871.26</v>
      </c>
    </row>
    <row r="39" spans="2:6" x14ac:dyDescent="0.25">
      <c r="C39" s="58"/>
      <c r="D39" s="59"/>
      <c r="E39" s="60"/>
      <c r="F39" s="61"/>
    </row>
    <row r="41" spans="2:6" x14ac:dyDescent="0.25">
      <c r="B41" s="23" t="s">
        <v>80</v>
      </c>
      <c r="C41" s="24"/>
      <c r="D41" s="24"/>
      <c r="E41" s="24"/>
    </row>
    <row r="42" spans="2:6" x14ac:dyDescent="0.25">
      <c r="B42" s="25"/>
      <c r="C42" s="24"/>
      <c r="D42" s="24"/>
      <c r="E42" s="24"/>
    </row>
    <row r="43" spans="2:6" x14ac:dyDescent="0.25">
      <c r="B43" s="26"/>
      <c r="C43" s="24"/>
      <c r="D43" s="26" t="s">
        <v>64</v>
      </c>
      <c r="E43" s="24"/>
    </row>
    <row r="44" spans="2:6" x14ac:dyDescent="0.25">
      <c r="B44" s="26"/>
      <c r="C44" s="24"/>
      <c r="D44" s="24"/>
      <c r="E44" s="24"/>
    </row>
    <row r="45" spans="2:6" x14ac:dyDescent="0.25">
      <c r="B45" s="26" t="s">
        <v>74</v>
      </c>
      <c r="C45" s="24"/>
      <c r="D45" s="26" t="s">
        <v>65</v>
      </c>
      <c r="E45" s="24"/>
    </row>
    <row r="46" spans="2:6" x14ac:dyDescent="0.25">
      <c r="B46" s="26"/>
      <c r="C46" s="24"/>
      <c r="D46" s="26" t="s">
        <v>66</v>
      </c>
      <c r="E46" s="24"/>
    </row>
    <row r="48" spans="2:6" ht="18.75" customHeight="1" x14ac:dyDescent="0.25"/>
    <row r="50" spans="10:11" ht="9" customHeight="1" x14ac:dyDescent="0.25"/>
    <row r="51" spans="10:11" hidden="1" x14ac:dyDescent="0.25"/>
    <row r="52" spans="10:11" x14ac:dyDescent="0.25">
      <c r="J52" s="73"/>
      <c r="K52" s="73"/>
    </row>
    <row r="74" spans="2:11" x14ac:dyDescent="0.25">
      <c r="B74" s="73"/>
      <c r="C74" s="73"/>
      <c r="D74" s="73"/>
      <c r="E74" s="73"/>
      <c r="F74" s="73"/>
    </row>
    <row r="75" spans="2:11" ht="102.75" customHeight="1" x14ac:dyDescent="0.25">
      <c r="B75" s="73"/>
      <c r="C75" s="73"/>
      <c r="D75" s="73"/>
      <c r="E75" s="73"/>
      <c r="F75" s="73"/>
    </row>
    <row r="76" spans="2:11" x14ac:dyDescent="0.25">
      <c r="B76" s="73"/>
      <c r="C76" s="73"/>
      <c r="D76" s="73"/>
      <c r="E76" s="73"/>
      <c r="F76" s="73"/>
    </row>
    <row r="77" spans="2:11" ht="69.75" customHeight="1" x14ac:dyDescent="0.25">
      <c r="B77" s="73"/>
      <c r="C77" s="73"/>
      <c r="D77" s="73"/>
      <c r="E77" s="73"/>
      <c r="F77" s="73"/>
    </row>
    <row r="78" spans="2:11" x14ac:dyDescent="0.25">
      <c r="J78" s="73"/>
      <c r="K78" s="73"/>
    </row>
  </sheetData>
  <protectedRanges>
    <protectedRange algorithmName="SHA-512" hashValue="poroQ6AOCp+PrXUU2E1NErYIFQH5Vb3rJFa5nEtjHcNd2xSuKk5xyHjxyYSj0ALpLP6WOSx/b1qjw/2zF/GuYQ==" saltValue="BNE7NYaoREnSby9ppJtTLw==" spinCount="100000" sqref="C15 C54 C80" name="Rango3"/>
    <protectedRange algorithmName="SHA-512" hashValue="tUGEn7omUASg2YnQUJFND+3qd4CF5BwoMj/cO/PA5wQF78Nm09A5xeFuei1S8jh1bhgAFdQbH1BhWbmB36F/gA==" saltValue="u/5i146fT7pcplAmbBqlww==" spinCount="100000" sqref="F57:F60 F83:F104 F18:F39" name="Rango2"/>
    <protectedRange algorithmName="SHA-512" hashValue="Fy74vzPqavg1HALyDiBARtZGduGibbQdzXJe+BveEjcDaIaSKVQYGdBygGaDWkJoeeVlREXXbIlDQeT5XgK+1A==" saltValue="3DEii5LrexWdXZ4VPlmQPg==" spinCount="100000" sqref="I13:J16 J52:K55 J78:K81" name="Rango1"/>
  </protectedRanges>
  <autoFilter ref="B17:F37" xr:uid="{87562516-27AD-4632-A748-60B8236490DD}"/>
  <mergeCells count="7">
    <mergeCell ref="J78:K78"/>
    <mergeCell ref="B9:F10"/>
    <mergeCell ref="B11:F12"/>
    <mergeCell ref="I13:J13"/>
    <mergeCell ref="J52:K52"/>
    <mergeCell ref="B74:F75"/>
    <mergeCell ref="B76:F77"/>
  </mergeCells>
  <dataValidations count="2">
    <dataValidation type="list" allowBlank="1" showInputMessage="1" showErrorMessage="1" sqref="C14 C79" xr:uid="{7AAAAE50-82FC-42E5-B13D-875ECEFA9AD4}">
      <formula1>$D$14:$F$14</formula1>
    </dataValidation>
    <dataValidation type="list" allowBlank="1" showInputMessage="1" showErrorMessage="1" sqref="B71" xr:uid="{3A77C555-46D9-4C17-8BB0-A72CC4C88CCD}">
      <formula1>$B$6:$B$7</formula1>
    </dataValidation>
  </dataValidations>
  <pageMargins left="0.7" right="0.7" top="0.75" bottom="0.75" header="0.3" footer="0.3"/>
  <pageSetup fitToHeight="0" orientation="portrait" r:id="rId1"/>
  <rowBreaks count="2" manualBreakCount="2">
    <brk id="47" min="1" max="5" man="1"/>
    <brk id="70" max="5" man="1"/>
  </rowBreaks>
  <colBreaks count="2" manualBreakCount="2">
    <brk id="1" min="46" max="82" man="1"/>
    <brk id="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CACB-DB35-4D82-B5D0-062B0FED41E6}">
  <sheetPr>
    <pageSetUpPr fitToPage="1"/>
  </sheetPr>
  <dimension ref="B6:K72"/>
  <sheetViews>
    <sheetView topLeftCell="A9" zoomScaleNormal="100" workbookViewId="0">
      <selection activeCell="E31" sqref="E31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87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7" t="s">
        <v>95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$F$32</f>
        <v>19913.050000000003</v>
      </c>
    </row>
    <row r="15" spans="2:10" x14ac:dyDescent="0.25">
      <c r="B15" t="s">
        <v>52</v>
      </c>
      <c r="C15" s="8">
        <f>+F32*J17</f>
        <v>68.972393197900004</v>
      </c>
      <c r="D15" s="52" t="s">
        <v>77</v>
      </c>
      <c r="I15" t="s">
        <v>54</v>
      </c>
      <c r="J15">
        <f>+C32</f>
        <v>17.594999999999995</v>
      </c>
    </row>
    <row r="16" spans="2:10" ht="15.75" thickBot="1" x14ac:dyDescent="0.3">
      <c r="D16" s="4" t="s">
        <v>55</v>
      </c>
      <c r="I16" t="s">
        <v>56</v>
      </c>
      <c r="J16" s="9"/>
    </row>
    <row r="17" spans="2:10" ht="16.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J17" s="63">
        <v>3.463678E-3</v>
      </c>
    </row>
    <row r="18" spans="2:10" ht="24.75" thickBot="1" x14ac:dyDescent="0.3">
      <c r="B18" s="33" t="s">
        <v>11</v>
      </c>
      <c r="C18" s="17">
        <v>1.02</v>
      </c>
      <c r="D18" s="13" t="s">
        <v>55</v>
      </c>
      <c r="E18" s="14">
        <v>1710</v>
      </c>
      <c r="F18" s="15">
        <f>+C18*E18</f>
        <v>1744.2</v>
      </c>
    </row>
    <row r="19" spans="2:10" ht="15.75" thickBot="1" x14ac:dyDescent="0.3">
      <c r="B19" s="12" t="s">
        <v>15</v>
      </c>
      <c r="C19" s="17">
        <v>1.085</v>
      </c>
      <c r="D19" s="13" t="s">
        <v>55</v>
      </c>
      <c r="E19" s="14">
        <v>1130</v>
      </c>
      <c r="F19" s="15">
        <f t="shared" ref="F19:F31" si="0">+C19*E19</f>
        <v>1226.05</v>
      </c>
    </row>
    <row r="20" spans="2:10" ht="15.75" thickBot="1" x14ac:dyDescent="0.3">
      <c r="B20" s="12" t="s">
        <v>15</v>
      </c>
      <c r="C20" s="34">
        <v>1.01</v>
      </c>
      <c r="D20" s="13" t="s">
        <v>55</v>
      </c>
      <c r="E20" s="14">
        <v>1080</v>
      </c>
      <c r="F20" s="15">
        <f t="shared" si="0"/>
        <v>1090.8</v>
      </c>
    </row>
    <row r="21" spans="2:10" ht="15.75" thickBot="1" x14ac:dyDescent="0.3">
      <c r="B21" s="12" t="s">
        <v>15</v>
      </c>
      <c r="C21" s="34">
        <v>2.13</v>
      </c>
      <c r="D21" s="13" t="s">
        <v>55</v>
      </c>
      <c r="E21" s="14">
        <v>1080</v>
      </c>
      <c r="F21" s="15">
        <f t="shared" si="0"/>
        <v>2300.4</v>
      </c>
    </row>
    <row r="22" spans="2:10" ht="15.75" thickBot="1" x14ac:dyDescent="0.3">
      <c r="B22" s="12" t="s">
        <v>15</v>
      </c>
      <c r="C22" s="44">
        <v>1.0549999999999999</v>
      </c>
      <c r="D22" s="13" t="s">
        <v>55</v>
      </c>
      <c r="E22" s="14">
        <v>1120</v>
      </c>
      <c r="F22" s="15">
        <f t="shared" si="0"/>
        <v>1181.5999999999999</v>
      </c>
    </row>
    <row r="23" spans="2:10" ht="15.75" thickBot="1" x14ac:dyDescent="0.3">
      <c r="B23" s="12" t="s">
        <v>15</v>
      </c>
      <c r="C23" s="44">
        <v>1.0449999999999999</v>
      </c>
      <c r="D23" s="13" t="s">
        <v>55</v>
      </c>
      <c r="E23" s="14">
        <v>1150</v>
      </c>
      <c r="F23" s="15">
        <f t="shared" si="0"/>
        <v>1201.75</v>
      </c>
    </row>
    <row r="24" spans="2:10" ht="15.75" thickBot="1" x14ac:dyDescent="0.3">
      <c r="B24" s="12" t="s">
        <v>15</v>
      </c>
      <c r="C24" s="44">
        <v>1.0349999999999999</v>
      </c>
      <c r="D24" s="13" t="s">
        <v>55</v>
      </c>
      <c r="E24" s="14">
        <v>1150</v>
      </c>
      <c r="F24" s="15">
        <f t="shared" si="0"/>
        <v>1190.25</v>
      </c>
    </row>
    <row r="25" spans="2:10" ht="15.75" thickBot="1" x14ac:dyDescent="0.3">
      <c r="B25" s="12" t="s">
        <v>15</v>
      </c>
      <c r="C25" s="44">
        <v>1.075</v>
      </c>
      <c r="D25" s="13" t="s">
        <v>55</v>
      </c>
      <c r="E25" s="14">
        <v>1060</v>
      </c>
      <c r="F25" s="15">
        <f t="shared" si="0"/>
        <v>1139.5</v>
      </c>
    </row>
    <row r="26" spans="2:10" ht="15.75" thickBot="1" x14ac:dyDescent="0.3">
      <c r="B26" s="12" t="s">
        <v>15</v>
      </c>
      <c r="C26" s="44">
        <v>1.0549999999999999</v>
      </c>
      <c r="D26" s="13" t="s">
        <v>55</v>
      </c>
      <c r="E26" s="14">
        <v>1180</v>
      </c>
      <c r="F26" s="15">
        <f t="shared" si="0"/>
        <v>1244.8999999999999</v>
      </c>
    </row>
    <row r="27" spans="2:10" ht="15.75" thickBot="1" x14ac:dyDescent="0.3">
      <c r="B27" s="12" t="s">
        <v>15</v>
      </c>
      <c r="C27" s="44">
        <v>1.0549999999999999</v>
      </c>
      <c r="D27" s="13" t="s">
        <v>55</v>
      </c>
      <c r="E27" s="14">
        <v>1120</v>
      </c>
      <c r="F27" s="15">
        <f t="shared" si="0"/>
        <v>1181.5999999999999</v>
      </c>
    </row>
    <row r="28" spans="2:10" ht="15.75" thickBot="1" x14ac:dyDescent="0.3">
      <c r="B28" s="12" t="s">
        <v>15</v>
      </c>
      <c r="C28" s="34">
        <v>1.0249999999999999</v>
      </c>
      <c r="D28" s="13" t="s">
        <v>55</v>
      </c>
      <c r="E28" s="14">
        <v>1060</v>
      </c>
      <c r="F28" s="15">
        <f t="shared" si="0"/>
        <v>1086.5</v>
      </c>
    </row>
    <row r="29" spans="2:10" ht="15.75" thickBot="1" x14ac:dyDescent="0.3">
      <c r="B29" s="12" t="s">
        <v>15</v>
      </c>
      <c r="C29" s="44">
        <v>2</v>
      </c>
      <c r="D29" s="13" t="s">
        <v>55</v>
      </c>
      <c r="E29" s="14">
        <v>1020</v>
      </c>
      <c r="F29" s="15">
        <f t="shared" si="0"/>
        <v>2040</v>
      </c>
    </row>
    <row r="30" spans="2:10" ht="15.75" thickBot="1" x14ac:dyDescent="0.3">
      <c r="B30" s="12" t="s">
        <v>15</v>
      </c>
      <c r="C30" s="34">
        <v>2</v>
      </c>
      <c r="D30" s="13" t="s">
        <v>55</v>
      </c>
      <c r="E30" s="14">
        <v>1090</v>
      </c>
      <c r="F30" s="15">
        <f t="shared" si="0"/>
        <v>2180</v>
      </c>
    </row>
    <row r="31" spans="2:10" ht="15.75" thickBot="1" x14ac:dyDescent="0.3">
      <c r="B31" s="12" t="s">
        <v>15</v>
      </c>
      <c r="C31" s="44">
        <v>1.0049999999999999</v>
      </c>
      <c r="D31" s="13" t="s">
        <v>55</v>
      </c>
      <c r="E31" s="14">
        <v>1100</v>
      </c>
      <c r="F31" s="15">
        <f t="shared" si="0"/>
        <v>1105.4999999999998</v>
      </c>
    </row>
    <row r="32" spans="2:10" ht="15.75" thickBot="1" x14ac:dyDescent="0.3">
      <c r="C32" s="45">
        <f>SUM(C18:C31)</f>
        <v>17.594999999999995</v>
      </c>
      <c r="E32" s="35" t="s">
        <v>78</v>
      </c>
      <c r="F32" s="22">
        <f>SUM(F18:F31)</f>
        <v>19913.050000000003</v>
      </c>
    </row>
    <row r="33" spans="2:11" x14ac:dyDescent="0.25">
      <c r="C33" s="58"/>
      <c r="D33" s="59"/>
      <c r="E33" s="60"/>
      <c r="F33" s="61"/>
    </row>
    <row r="35" spans="2:11" x14ac:dyDescent="0.25">
      <c r="B35" s="23" t="s">
        <v>80</v>
      </c>
      <c r="C35" s="24"/>
      <c r="D35" s="24"/>
      <c r="E35" s="24"/>
    </row>
    <row r="36" spans="2:11" x14ac:dyDescent="0.25">
      <c r="B36" s="25"/>
      <c r="C36" s="24"/>
      <c r="D36" s="24"/>
      <c r="E36" s="24"/>
    </row>
    <row r="37" spans="2:11" x14ac:dyDescent="0.25">
      <c r="B37" s="26"/>
      <c r="C37" s="24"/>
      <c r="D37" s="26" t="s">
        <v>64</v>
      </c>
      <c r="E37" s="24"/>
    </row>
    <row r="38" spans="2:11" x14ac:dyDescent="0.25">
      <c r="B38" s="26"/>
      <c r="C38" s="24"/>
      <c r="D38" s="24"/>
      <c r="E38" s="24"/>
    </row>
    <row r="39" spans="2:11" x14ac:dyDescent="0.25">
      <c r="B39" s="26" t="s">
        <v>74</v>
      </c>
      <c r="C39" s="24"/>
      <c r="D39" s="26" t="s">
        <v>65</v>
      </c>
      <c r="E39" s="24"/>
    </row>
    <row r="40" spans="2:11" x14ac:dyDescent="0.25">
      <c r="B40" s="26"/>
      <c r="C40" s="24"/>
      <c r="D40" s="26" t="s">
        <v>66</v>
      </c>
      <c r="E40" s="24"/>
    </row>
    <row r="42" spans="2:11" ht="18.75" customHeight="1" x14ac:dyDescent="0.25"/>
    <row r="44" spans="2:11" ht="9" customHeight="1" x14ac:dyDescent="0.25"/>
    <row r="45" spans="2:11" hidden="1" x14ac:dyDescent="0.25"/>
    <row r="46" spans="2:11" x14ac:dyDescent="0.25">
      <c r="J46" s="73"/>
      <c r="K46" s="73"/>
    </row>
    <row r="68" spans="2:11" x14ac:dyDescent="0.25">
      <c r="B68" s="73"/>
      <c r="C68" s="73"/>
      <c r="D68" s="73"/>
      <c r="E68" s="73"/>
      <c r="F68" s="73"/>
    </row>
    <row r="69" spans="2:11" ht="102.75" customHeight="1" x14ac:dyDescent="0.25">
      <c r="B69" s="73"/>
      <c r="C69" s="73"/>
      <c r="D69" s="73"/>
      <c r="E69" s="73"/>
      <c r="F69" s="73"/>
    </row>
    <row r="70" spans="2:11" x14ac:dyDescent="0.25">
      <c r="B70" s="73"/>
      <c r="C70" s="73"/>
      <c r="D70" s="73"/>
      <c r="E70" s="73"/>
      <c r="F70" s="73"/>
    </row>
    <row r="71" spans="2:11" ht="69.75" customHeight="1" x14ac:dyDescent="0.25">
      <c r="B71" s="73"/>
      <c r="C71" s="73"/>
      <c r="D71" s="73"/>
      <c r="E71" s="73"/>
      <c r="F71" s="73"/>
    </row>
    <row r="72" spans="2:11" x14ac:dyDescent="0.25">
      <c r="J72" s="73"/>
      <c r="K72" s="73"/>
    </row>
  </sheetData>
  <protectedRanges>
    <protectedRange algorithmName="SHA-512" hashValue="poroQ6AOCp+PrXUU2E1NErYIFQH5Vb3rJFa5nEtjHcNd2xSuKk5xyHjxyYSj0ALpLP6WOSx/b1qjw/2zF/GuYQ==" saltValue="BNE7NYaoREnSby9ppJtTLw==" spinCount="100000" sqref="C15 C48 C74" name="Rango3"/>
    <protectedRange algorithmName="SHA-512" hashValue="tUGEn7omUASg2YnQUJFND+3qd4CF5BwoMj/cO/PA5wQF78Nm09A5xeFuei1S8jh1bhgAFdQbH1BhWbmB36F/gA==" saltValue="u/5i146fT7pcplAmbBqlww==" spinCount="100000" sqref="F51:F54 F77:F98 F18:F33" name="Rango2"/>
    <protectedRange algorithmName="SHA-512" hashValue="Fy74vzPqavg1HALyDiBARtZGduGibbQdzXJe+BveEjcDaIaSKVQYGdBygGaDWkJoeeVlREXXbIlDQeT5XgK+1A==" saltValue="3DEii5LrexWdXZ4VPlmQPg==" spinCount="100000" sqref="I13:J16 J46:K49 J72:K75" name="Rango1"/>
  </protectedRanges>
  <mergeCells count="7">
    <mergeCell ref="J72:K72"/>
    <mergeCell ref="B9:F10"/>
    <mergeCell ref="B11:F12"/>
    <mergeCell ref="I13:J13"/>
    <mergeCell ref="J46:K46"/>
    <mergeCell ref="B68:F69"/>
    <mergeCell ref="B70:F71"/>
  </mergeCells>
  <dataValidations count="2">
    <dataValidation type="list" allowBlank="1" showInputMessage="1" showErrorMessage="1" sqref="B65" xr:uid="{167FB71D-E928-4E2A-8555-CC96D40A9ECE}">
      <formula1>$B$6:$B$7</formula1>
    </dataValidation>
    <dataValidation type="list" allowBlank="1" showInputMessage="1" showErrorMessage="1" sqref="C14 C73" xr:uid="{A7FA5C27-F1BA-4BD6-A5AD-AC0E43E2D9D4}">
      <formula1>$D$14:$F$14</formula1>
    </dataValidation>
  </dataValidations>
  <pageMargins left="0.23622047244094491" right="0.23622047244094491" top="0.94488188976377963" bottom="0.74803149606299213" header="0.31496062992125984" footer="0.31496062992125984"/>
  <pageSetup scale="86" fitToHeight="0" orientation="portrait" r:id="rId1"/>
  <rowBreaks count="2" manualBreakCount="2">
    <brk id="41" min="1" max="5" man="1"/>
    <brk id="64" max="5" man="1"/>
  </rowBreaks>
  <colBreaks count="2" manualBreakCount="2">
    <brk id="1" min="40" max="76" man="1"/>
    <brk id="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2A9E9-27A4-4051-AC99-C61C9EA51AA8}">
  <sheetPr>
    <pageSetUpPr fitToPage="1"/>
  </sheetPr>
  <dimension ref="B6:K63"/>
  <sheetViews>
    <sheetView topLeftCell="A3" zoomScaleNormal="100" workbookViewId="0">
      <selection activeCell="B22" sqref="B22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87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7" t="s">
        <v>96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$F$23</f>
        <v>8562.7999999999993</v>
      </c>
    </row>
    <row r="15" spans="2:10" x14ac:dyDescent="0.25">
      <c r="B15" t="s">
        <v>52</v>
      </c>
      <c r="C15" s="8">
        <f>+F23*J17</f>
        <v>29.658781978399997</v>
      </c>
      <c r="D15" s="52" t="s">
        <v>77</v>
      </c>
      <c r="I15" t="s">
        <v>54</v>
      </c>
      <c r="J15">
        <f>+C23</f>
        <v>7.75</v>
      </c>
    </row>
    <row r="16" spans="2:10" ht="15.75" thickBot="1" x14ac:dyDescent="0.3">
      <c r="D16" s="4" t="s">
        <v>55</v>
      </c>
      <c r="I16" t="s">
        <v>56</v>
      </c>
      <c r="J16" s="9"/>
    </row>
    <row r="17" spans="2:10" ht="16.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J17" s="63">
        <v>3.463678E-3</v>
      </c>
    </row>
    <row r="18" spans="2:10" ht="15.75" thickBot="1" x14ac:dyDescent="0.3">
      <c r="B18" s="12" t="s">
        <v>15</v>
      </c>
      <c r="C18" s="17">
        <v>2.36</v>
      </c>
      <c r="D18" s="13" t="s">
        <v>55</v>
      </c>
      <c r="E18" s="14">
        <v>1060</v>
      </c>
      <c r="F18" s="15">
        <f>+C18*E18</f>
        <v>2501.6</v>
      </c>
    </row>
    <row r="19" spans="2:10" ht="15.75" thickBot="1" x14ac:dyDescent="0.3">
      <c r="B19" s="12" t="s">
        <v>15</v>
      </c>
      <c r="C19" s="17">
        <v>0.96</v>
      </c>
      <c r="D19" s="13" t="s">
        <v>55</v>
      </c>
      <c r="E19" s="14">
        <v>1160</v>
      </c>
      <c r="F19" s="15">
        <f t="shared" ref="F19:F22" si="0">+C19*E19</f>
        <v>1113.5999999999999</v>
      </c>
    </row>
    <row r="20" spans="2:10" ht="24.75" thickBot="1" x14ac:dyDescent="0.3">
      <c r="B20" s="33" t="s">
        <v>11</v>
      </c>
      <c r="C20" s="34">
        <v>1.03</v>
      </c>
      <c r="D20" s="13" t="s">
        <v>55</v>
      </c>
      <c r="E20" s="14">
        <v>1080</v>
      </c>
      <c r="F20" s="15">
        <f t="shared" si="0"/>
        <v>1112.4000000000001</v>
      </c>
    </row>
    <row r="21" spans="2:10" ht="24.75" thickBot="1" x14ac:dyDescent="0.3">
      <c r="B21" s="33" t="s">
        <v>11</v>
      </c>
      <c r="C21" s="34">
        <v>2.38</v>
      </c>
      <c r="D21" s="13" t="s">
        <v>55</v>
      </c>
      <c r="E21" s="14">
        <v>1080</v>
      </c>
      <c r="F21" s="15">
        <f t="shared" si="0"/>
        <v>2570.4</v>
      </c>
    </row>
    <row r="22" spans="2:10" ht="24.75" thickBot="1" x14ac:dyDescent="0.3">
      <c r="B22" s="33" t="s">
        <v>11</v>
      </c>
      <c r="C22" s="44">
        <v>1.02</v>
      </c>
      <c r="D22" s="13" t="s">
        <v>55</v>
      </c>
      <c r="E22" s="14">
        <v>1240</v>
      </c>
      <c r="F22" s="15">
        <f t="shared" si="0"/>
        <v>1264.8</v>
      </c>
    </row>
    <row r="23" spans="2:10" ht="15.75" thickBot="1" x14ac:dyDescent="0.3">
      <c r="C23" s="45">
        <f>SUM(C18:C22)</f>
        <v>7.75</v>
      </c>
      <c r="E23" s="35" t="s">
        <v>78</v>
      </c>
      <c r="F23" s="22">
        <f>SUM(F18:F22)</f>
        <v>8562.7999999999993</v>
      </c>
    </row>
    <row r="24" spans="2:10" x14ac:dyDescent="0.25">
      <c r="C24" s="58"/>
      <c r="D24" s="59"/>
      <c r="E24" s="60"/>
      <c r="F24" s="61"/>
    </row>
    <row r="26" spans="2:10" x14ac:dyDescent="0.25">
      <c r="B26" s="23" t="s">
        <v>80</v>
      </c>
      <c r="C26" s="24"/>
      <c r="D26" s="24"/>
      <c r="E26" s="24"/>
    </row>
    <row r="27" spans="2:10" x14ac:dyDescent="0.25">
      <c r="B27" s="25"/>
      <c r="C27" s="24"/>
      <c r="D27" s="24"/>
      <c r="E27" s="24"/>
    </row>
    <row r="28" spans="2:10" x14ac:dyDescent="0.25">
      <c r="B28" s="26"/>
      <c r="C28" s="24"/>
      <c r="D28" s="26" t="s">
        <v>64</v>
      </c>
      <c r="E28" s="24"/>
    </row>
    <row r="29" spans="2:10" x14ac:dyDescent="0.25">
      <c r="B29" s="26"/>
      <c r="C29" s="24"/>
      <c r="D29" s="24"/>
      <c r="E29" s="24"/>
    </row>
    <row r="30" spans="2:10" x14ac:dyDescent="0.25">
      <c r="B30" s="26" t="s">
        <v>74</v>
      </c>
      <c r="C30" s="24"/>
      <c r="D30" s="26" t="s">
        <v>65</v>
      </c>
      <c r="E30" s="24"/>
    </row>
    <row r="31" spans="2:10" x14ac:dyDescent="0.25">
      <c r="B31" s="26"/>
      <c r="C31" s="24"/>
      <c r="D31" s="26" t="s">
        <v>66</v>
      </c>
      <c r="E31" s="24"/>
    </row>
    <row r="33" spans="10:11" ht="18.75" customHeight="1" x14ac:dyDescent="0.25"/>
    <row r="35" spans="10:11" ht="9" customHeight="1" x14ac:dyDescent="0.25"/>
    <row r="36" spans="10:11" hidden="1" x14ac:dyDescent="0.25"/>
    <row r="37" spans="10:11" x14ac:dyDescent="0.25">
      <c r="J37" s="73"/>
      <c r="K37" s="73"/>
    </row>
    <row r="59" spans="2:11" x14ac:dyDescent="0.25">
      <c r="B59" s="73"/>
      <c r="C59" s="73"/>
      <c r="D59" s="73"/>
      <c r="E59" s="73"/>
      <c r="F59" s="73"/>
    </row>
    <row r="60" spans="2:11" ht="102.75" customHeight="1" x14ac:dyDescent="0.25">
      <c r="B60" s="73"/>
      <c r="C60" s="73"/>
      <c r="D60" s="73"/>
      <c r="E60" s="73"/>
      <c r="F60" s="73"/>
    </row>
    <row r="61" spans="2:11" x14ac:dyDescent="0.25">
      <c r="B61" s="73"/>
      <c r="C61" s="73"/>
      <c r="D61" s="73"/>
      <c r="E61" s="73"/>
      <c r="F61" s="73"/>
    </row>
    <row r="62" spans="2:11" ht="69.75" customHeight="1" x14ac:dyDescent="0.25">
      <c r="B62" s="73"/>
      <c r="C62" s="73"/>
      <c r="D62" s="73"/>
      <c r="E62" s="73"/>
      <c r="F62" s="73"/>
    </row>
    <row r="63" spans="2:11" x14ac:dyDescent="0.25">
      <c r="J63" s="73"/>
      <c r="K63" s="73"/>
    </row>
  </sheetData>
  <protectedRanges>
    <protectedRange algorithmName="SHA-512" hashValue="poroQ6AOCp+PrXUU2E1NErYIFQH5Vb3rJFa5nEtjHcNd2xSuKk5xyHjxyYSj0ALpLP6WOSx/b1qjw/2zF/GuYQ==" saltValue="BNE7NYaoREnSby9ppJtTLw==" spinCount="100000" sqref="C15 C39 C65" name="Rango3"/>
    <protectedRange algorithmName="SHA-512" hashValue="tUGEn7omUASg2YnQUJFND+3qd4CF5BwoMj/cO/PA5wQF78Nm09A5xeFuei1S8jh1bhgAFdQbH1BhWbmB36F/gA==" saltValue="u/5i146fT7pcplAmbBqlww==" spinCount="100000" sqref="F42:F45 F68:F89 F18:F24" name="Rango2"/>
    <protectedRange algorithmName="SHA-512" hashValue="Fy74vzPqavg1HALyDiBARtZGduGibbQdzXJe+BveEjcDaIaSKVQYGdBygGaDWkJoeeVlREXXbIlDQeT5XgK+1A==" saltValue="3DEii5LrexWdXZ4VPlmQPg==" spinCount="100000" sqref="I13:J16 J37:K40 J63:K66" name="Rango1"/>
  </protectedRanges>
  <mergeCells count="7">
    <mergeCell ref="J63:K63"/>
    <mergeCell ref="B9:F10"/>
    <mergeCell ref="B11:F12"/>
    <mergeCell ref="I13:J13"/>
    <mergeCell ref="J37:K37"/>
    <mergeCell ref="B59:F60"/>
    <mergeCell ref="B61:F62"/>
  </mergeCells>
  <dataValidations count="2">
    <dataValidation type="list" allowBlank="1" showInputMessage="1" showErrorMessage="1" sqref="C14 C64" xr:uid="{385E4F62-B5A3-4C2A-85F5-6BFF2711D908}">
      <formula1>$D$14:$F$14</formula1>
    </dataValidation>
    <dataValidation type="list" allowBlank="1" showInputMessage="1" showErrorMessage="1" sqref="B56" xr:uid="{AFFBADA2-C411-47A9-8F46-FD7A84A11362}">
      <formula1>$B$6:$B$7</formula1>
    </dataValidation>
  </dataValidations>
  <pageMargins left="0.23622047244094491" right="0.23622047244094491" top="0.94488188976377963" bottom="0.74803149606299213" header="0.31496062992125984" footer="0.31496062992125984"/>
  <pageSetup scale="86" fitToHeight="0" orientation="portrait" r:id="rId1"/>
  <rowBreaks count="2" manualBreakCount="2">
    <brk id="32" min="1" max="5" man="1"/>
    <brk id="55" max="5" man="1"/>
  </rowBreaks>
  <colBreaks count="2" manualBreakCount="2">
    <brk id="1" min="31" max="67" man="1"/>
    <brk id="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AC948-D860-4495-A023-4A1B967836A0}">
  <sheetPr>
    <pageSetUpPr fitToPage="1"/>
  </sheetPr>
  <dimension ref="B6:K64"/>
  <sheetViews>
    <sheetView zoomScaleNormal="100" workbookViewId="0">
      <selection activeCell="D15" sqref="D15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87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5" t="s">
        <v>97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$F$24</f>
        <v>27720.75</v>
      </c>
    </row>
    <row r="15" spans="2:10" x14ac:dyDescent="0.25">
      <c r="B15" t="s">
        <v>52</v>
      </c>
      <c r="C15" s="8">
        <f>+F24*J17</f>
        <v>96.015751918500001</v>
      </c>
      <c r="D15" s="52" t="s">
        <v>77</v>
      </c>
      <c r="I15" t="s">
        <v>54</v>
      </c>
      <c r="J15">
        <f>+C24</f>
        <v>25.77</v>
      </c>
    </row>
    <row r="16" spans="2:10" ht="15.75" thickBot="1" x14ac:dyDescent="0.3">
      <c r="D16" s="4" t="s">
        <v>55</v>
      </c>
      <c r="I16" t="s">
        <v>56</v>
      </c>
      <c r="J16" s="9"/>
    </row>
    <row r="17" spans="2:10" ht="16.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J17" s="63">
        <v>3.463678E-3</v>
      </c>
    </row>
    <row r="18" spans="2:10" ht="15.75" thickBot="1" x14ac:dyDescent="0.3">
      <c r="B18" s="12" t="s">
        <v>15</v>
      </c>
      <c r="C18" s="17">
        <v>1.0349999999999999</v>
      </c>
      <c r="D18" s="13" t="s">
        <v>55</v>
      </c>
      <c r="E18" s="51">
        <v>1090</v>
      </c>
      <c r="F18" s="15">
        <f>+C18*E18</f>
        <v>1128.1499999999999</v>
      </c>
    </row>
    <row r="19" spans="2:10" ht="15.75" thickBot="1" x14ac:dyDescent="0.3">
      <c r="B19" s="12" t="s">
        <v>15</v>
      </c>
      <c r="C19" s="17">
        <v>1.03</v>
      </c>
      <c r="D19" s="13" t="s">
        <v>55</v>
      </c>
      <c r="E19" s="51">
        <v>1090</v>
      </c>
      <c r="F19" s="15">
        <f t="shared" ref="F19:F23" si="0">+C19*E19</f>
        <v>1122.7</v>
      </c>
    </row>
    <row r="20" spans="2:10" ht="15.75" thickBot="1" x14ac:dyDescent="0.3">
      <c r="B20" s="12" t="s">
        <v>15</v>
      </c>
      <c r="C20" s="34">
        <v>3.36</v>
      </c>
      <c r="D20" s="13" t="s">
        <v>55</v>
      </c>
      <c r="E20" s="51">
        <v>1090</v>
      </c>
      <c r="F20" s="15">
        <f t="shared" si="0"/>
        <v>3662.4</v>
      </c>
    </row>
    <row r="21" spans="2:10" ht="15.75" thickBot="1" x14ac:dyDescent="0.3">
      <c r="B21" s="12" t="s">
        <v>15</v>
      </c>
      <c r="C21" s="34">
        <v>18.329999999999998</v>
      </c>
      <c r="D21" s="13" t="s">
        <v>55</v>
      </c>
      <c r="E21" s="51">
        <v>1060</v>
      </c>
      <c r="F21" s="15">
        <f t="shared" si="0"/>
        <v>19429.8</v>
      </c>
    </row>
    <row r="22" spans="2:10" ht="15.75" thickBot="1" x14ac:dyDescent="0.3">
      <c r="B22" s="12" t="s">
        <v>15</v>
      </c>
      <c r="C22" s="44">
        <v>1.03</v>
      </c>
      <c r="D22" s="13" t="s">
        <v>55</v>
      </c>
      <c r="E22" s="51">
        <v>1180</v>
      </c>
      <c r="F22" s="15">
        <f t="shared" si="0"/>
        <v>1215.4000000000001</v>
      </c>
    </row>
    <row r="23" spans="2:10" ht="15.75" thickBot="1" x14ac:dyDescent="0.3">
      <c r="B23" s="12" t="s">
        <v>15</v>
      </c>
      <c r="C23" s="44">
        <v>0.98499999999999999</v>
      </c>
      <c r="D23" s="13" t="s">
        <v>55</v>
      </c>
      <c r="E23" s="51">
        <v>1180</v>
      </c>
      <c r="F23" s="15">
        <f t="shared" si="0"/>
        <v>1162.3</v>
      </c>
    </row>
    <row r="24" spans="2:10" ht="15.75" thickBot="1" x14ac:dyDescent="0.3">
      <c r="C24" s="65">
        <f>SUM(C18:C23)</f>
        <v>25.77</v>
      </c>
      <c r="E24" s="35" t="s">
        <v>78</v>
      </c>
      <c r="F24" s="64">
        <f>SUM(F18:F23)</f>
        <v>27720.75</v>
      </c>
    </row>
    <row r="25" spans="2:10" x14ac:dyDescent="0.25">
      <c r="C25" s="58"/>
      <c r="D25" s="59"/>
      <c r="E25" s="60"/>
      <c r="F25" s="61"/>
    </row>
    <row r="27" spans="2:10" x14ac:dyDescent="0.25">
      <c r="B27" s="23" t="s">
        <v>80</v>
      </c>
      <c r="C27" s="24"/>
      <c r="D27" s="24"/>
      <c r="E27" s="24"/>
    </row>
    <row r="28" spans="2:10" x14ac:dyDescent="0.25">
      <c r="B28" s="25"/>
      <c r="C28" s="24"/>
      <c r="D28" s="24"/>
      <c r="E28" s="24"/>
    </row>
    <row r="29" spans="2:10" x14ac:dyDescent="0.25">
      <c r="B29" s="26"/>
      <c r="C29" s="24"/>
      <c r="D29" s="26" t="s">
        <v>64</v>
      </c>
      <c r="E29" s="24"/>
    </row>
    <row r="30" spans="2:10" x14ac:dyDescent="0.25">
      <c r="B30" s="26"/>
      <c r="C30" s="24"/>
      <c r="D30" s="24"/>
      <c r="E30" s="24"/>
    </row>
    <row r="31" spans="2:10" x14ac:dyDescent="0.25">
      <c r="B31" s="26" t="s">
        <v>74</v>
      </c>
      <c r="C31" s="24"/>
      <c r="D31" s="26" t="s">
        <v>65</v>
      </c>
      <c r="E31" s="24"/>
    </row>
    <row r="32" spans="2:10" x14ac:dyDescent="0.25">
      <c r="B32" s="26"/>
      <c r="C32" s="24"/>
      <c r="D32" s="26" t="s">
        <v>66</v>
      </c>
      <c r="E32" s="24"/>
    </row>
    <row r="34" spans="10:11" ht="18.75" customHeight="1" x14ac:dyDescent="0.25"/>
    <row r="36" spans="10:11" ht="9" customHeight="1" x14ac:dyDescent="0.25"/>
    <row r="37" spans="10:11" hidden="1" x14ac:dyDescent="0.25"/>
    <row r="38" spans="10:11" x14ac:dyDescent="0.25">
      <c r="J38" s="73"/>
      <c r="K38" s="73"/>
    </row>
    <row r="60" spans="2:11" x14ac:dyDescent="0.25">
      <c r="B60" s="73"/>
      <c r="C60" s="73"/>
      <c r="D60" s="73"/>
      <c r="E60" s="73"/>
      <c r="F60" s="73"/>
    </row>
    <row r="61" spans="2:11" ht="102.75" customHeight="1" x14ac:dyDescent="0.25">
      <c r="B61" s="73"/>
      <c r="C61" s="73"/>
      <c r="D61" s="73"/>
      <c r="E61" s="73"/>
      <c r="F61" s="73"/>
    </row>
    <row r="62" spans="2:11" x14ac:dyDescent="0.25">
      <c r="B62" s="73"/>
      <c r="C62" s="73"/>
      <c r="D62" s="73"/>
      <c r="E62" s="73"/>
      <c r="F62" s="73"/>
    </row>
    <row r="63" spans="2:11" ht="69.75" customHeight="1" x14ac:dyDescent="0.25">
      <c r="B63" s="73"/>
      <c r="C63" s="73"/>
      <c r="D63" s="73"/>
      <c r="E63" s="73"/>
      <c r="F63" s="73"/>
    </row>
    <row r="64" spans="2:11" x14ac:dyDescent="0.25">
      <c r="J64" s="73"/>
      <c r="K64" s="73"/>
    </row>
  </sheetData>
  <protectedRanges>
    <protectedRange algorithmName="SHA-512" hashValue="poroQ6AOCp+PrXUU2E1NErYIFQH5Vb3rJFa5nEtjHcNd2xSuKk5xyHjxyYSj0ALpLP6WOSx/b1qjw/2zF/GuYQ==" saltValue="BNE7NYaoREnSby9ppJtTLw==" spinCount="100000" sqref="C15 C40 C66" name="Rango3"/>
    <protectedRange algorithmName="SHA-512" hashValue="tUGEn7omUASg2YnQUJFND+3qd4CF5BwoMj/cO/PA5wQF78Nm09A5xeFuei1S8jh1bhgAFdQbH1BhWbmB36F/gA==" saltValue="u/5i146fT7pcplAmbBqlww==" spinCount="100000" sqref="F43:F46 F69:F90 F18:F25" name="Rango2"/>
    <protectedRange algorithmName="SHA-512" hashValue="Fy74vzPqavg1HALyDiBARtZGduGibbQdzXJe+BveEjcDaIaSKVQYGdBygGaDWkJoeeVlREXXbIlDQeT5XgK+1A==" saltValue="3DEii5LrexWdXZ4VPlmQPg==" spinCount="100000" sqref="I13:J16 J38:K41 J64:K67" name="Rango1"/>
  </protectedRanges>
  <mergeCells count="7">
    <mergeCell ref="J64:K64"/>
    <mergeCell ref="B9:F10"/>
    <mergeCell ref="B11:F12"/>
    <mergeCell ref="I13:J13"/>
    <mergeCell ref="J38:K38"/>
    <mergeCell ref="B60:F61"/>
    <mergeCell ref="B62:F63"/>
  </mergeCells>
  <dataValidations count="2">
    <dataValidation type="list" allowBlank="1" showInputMessage="1" showErrorMessage="1" sqref="B57" xr:uid="{40764090-F993-4E0F-AA12-8558730CAF10}">
      <formula1>$B$6:$B$7</formula1>
    </dataValidation>
    <dataValidation type="list" allowBlank="1" showInputMessage="1" showErrorMessage="1" sqref="C14 C65" xr:uid="{9DAAA2E0-F4C3-4F16-BDF0-836A1A3E0CD5}">
      <formula1>$D$14:$F$14</formula1>
    </dataValidation>
  </dataValidations>
  <pageMargins left="0.23622047244094491" right="0.23622047244094491" top="0.94488188976377963" bottom="0.74803149606299213" header="0.31496062992125984" footer="0.31496062992125984"/>
  <pageSetup fitToHeight="0" orientation="portrait" r:id="rId1"/>
  <rowBreaks count="2" manualBreakCount="2">
    <brk id="33" min="1" max="5" man="1"/>
    <brk id="56" max="5" man="1"/>
  </rowBreaks>
  <colBreaks count="2" manualBreakCount="2">
    <brk id="1" min="32" max="68" man="1"/>
    <brk id="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CAED-25EE-4E9A-916A-F2E4119771B1}">
  <sheetPr>
    <pageSetUpPr fitToPage="1"/>
  </sheetPr>
  <dimension ref="B6:K62"/>
  <sheetViews>
    <sheetView zoomScaleNormal="100" workbookViewId="0">
      <selection activeCell="F32" sqref="F32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4" t="s">
        <v>100</v>
      </c>
      <c r="C9" s="74"/>
      <c r="D9" s="74"/>
      <c r="E9" s="74"/>
      <c r="F9" s="74"/>
    </row>
    <row r="10" spans="2:10" ht="84" customHeight="1" x14ac:dyDescent="0.25">
      <c r="B10" s="74"/>
      <c r="C10" s="74"/>
      <c r="D10" s="74"/>
      <c r="E10" s="74"/>
      <c r="F10" s="74"/>
    </row>
    <row r="11" spans="2:10" s="5" customFormat="1" ht="37.5" customHeight="1" x14ac:dyDescent="0.25">
      <c r="B11" s="75" t="s">
        <v>99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$F$22</f>
        <v>26445.100000000002</v>
      </c>
    </row>
    <row r="15" spans="2:10" x14ac:dyDescent="0.25">
      <c r="B15" t="s">
        <v>52</v>
      </c>
      <c r="C15" s="8">
        <f>+F22*J17</f>
        <v>91.597311077800001</v>
      </c>
      <c r="D15" s="52" t="s">
        <v>77</v>
      </c>
      <c r="I15" t="s">
        <v>54</v>
      </c>
      <c r="J15">
        <f>+C22</f>
        <v>23.885000000000002</v>
      </c>
    </row>
    <row r="16" spans="2:10" ht="15.75" thickBot="1" x14ac:dyDescent="0.3">
      <c r="D16" s="4" t="s">
        <v>55</v>
      </c>
      <c r="I16" t="s">
        <v>56</v>
      </c>
      <c r="J16" s="9"/>
    </row>
    <row r="17" spans="2:10" ht="16.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J17" s="63">
        <v>3.463678E-3</v>
      </c>
    </row>
    <row r="18" spans="2:10" ht="15.75" thickBot="1" x14ac:dyDescent="0.3">
      <c r="B18" s="12" t="s">
        <v>15</v>
      </c>
      <c r="C18" s="17">
        <v>7.87</v>
      </c>
      <c r="D18" s="13" t="s">
        <v>55</v>
      </c>
      <c r="E18" s="51">
        <v>1050</v>
      </c>
      <c r="F18" s="15">
        <f>+C18*E18</f>
        <v>8263.5</v>
      </c>
    </row>
    <row r="19" spans="2:10" ht="15.75" thickBot="1" x14ac:dyDescent="0.3">
      <c r="B19" s="12" t="s">
        <v>15</v>
      </c>
      <c r="C19" s="17">
        <v>2.105</v>
      </c>
      <c r="D19" s="13" t="s">
        <v>55</v>
      </c>
      <c r="E19" s="51">
        <v>1120</v>
      </c>
      <c r="F19" s="15">
        <f t="shared" ref="F19:F21" si="0">+C19*E19</f>
        <v>2357.6</v>
      </c>
    </row>
    <row r="20" spans="2:10" ht="15.75" thickBot="1" x14ac:dyDescent="0.3">
      <c r="B20" s="12" t="s">
        <v>15</v>
      </c>
      <c r="C20" s="34">
        <v>12.89</v>
      </c>
      <c r="D20" s="13" t="s">
        <v>55</v>
      </c>
      <c r="E20" s="51">
        <v>1120</v>
      </c>
      <c r="F20" s="15">
        <f t="shared" si="0"/>
        <v>14436.800000000001</v>
      </c>
    </row>
    <row r="21" spans="2:10" ht="24.75" thickBot="1" x14ac:dyDescent="0.3">
      <c r="B21" s="33" t="s">
        <v>11</v>
      </c>
      <c r="C21" s="34">
        <v>1.02</v>
      </c>
      <c r="D21" s="13" t="s">
        <v>55</v>
      </c>
      <c r="E21" s="51">
        <v>1360</v>
      </c>
      <c r="F21" s="15">
        <f t="shared" si="0"/>
        <v>1387.2</v>
      </c>
    </row>
    <row r="22" spans="2:10" ht="15.75" thickBot="1" x14ac:dyDescent="0.3">
      <c r="C22" s="65">
        <f>SUM(C18:C21)</f>
        <v>23.885000000000002</v>
      </c>
      <c r="E22" s="35" t="s">
        <v>78</v>
      </c>
      <c r="F22" s="64">
        <f>SUM(F18:F21)</f>
        <v>26445.100000000002</v>
      </c>
    </row>
    <row r="23" spans="2:10" x14ac:dyDescent="0.25">
      <c r="C23" s="58"/>
      <c r="D23" s="59"/>
      <c r="E23" s="60"/>
      <c r="F23" s="61"/>
    </row>
    <row r="25" spans="2:10" x14ac:dyDescent="0.25">
      <c r="B25" s="23" t="s">
        <v>80</v>
      </c>
      <c r="C25" s="24"/>
      <c r="D25" s="24"/>
      <c r="E25" s="24"/>
    </row>
    <row r="26" spans="2:10" x14ac:dyDescent="0.25">
      <c r="B26" s="25"/>
      <c r="C26" s="24"/>
      <c r="D26" s="24"/>
      <c r="E26" s="24"/>
    </row>
    <row r="27" spans="2:10" x14ac:dyDescent="0.25">
      <c r="B27" s="26"/>
      <c r="C27" s="24"/>
      <c r="D27" s="26" t="s">
        <v>64</v>
      </c>
      <c r="E27" s="24"/>
    </row>
    <row r="28" spans="2:10" x14ac:dyDescent="0.25">
      <c r="B28" s="26"/>
      <c r="C28" s="24"/>
      <c r="D28" s="24"/>
      <c r="E28" s="24"/>
    </row>
    <row r="29" spans="2:10" x14ac:dyDescent="0.25">
      <c r="B29" s="26" t="s">
        <v>74</v>
      </c>
      <c r="C29" s="24"/>
      <c r="D29" s="26" t="s">
        <v>101</v>
      </c>
      <c r="E29" s="24"/>
    </row>
    <row r="30" spans="2:10" x14ac:dyDescent="0.25">
      <c r="B30" s="26"/>
      <c r="C30" s="24"/>
      <c r="D30" s="26" t="s">
        <v>66</v>
      </c>
      <c r="E30" s="24"/>
    </row>
    <row r="32" spans="2:10" ht="18.75" customHeight="1" x14ac:dyDescent="0.25"/>
    <row r="34" spans="10:11" ht="9" customHeight="1" x14ac:dyDescent="0.25"/>
    <row r="35" spans="10:11" hidden="1" x14ac:dyDescent="0.25"/>
    <row r="36" spans="10:11" x14ac:dyDescent="0.25">
      <c r="J36" s="73"/>
      <c r="K36" s="73"/>
    </row>
    <row r="58" spans="2:11" x14ac:dyDescent="0.25">
      <c r="B58" s="73"/>
      <c r="C58" s="73"/>
      <c r="D58" s="73"/>
      <c r="E58" s="73"/>
      <c r="F58" s="73"/>
    </row>
    <row r="59" spans="2:11" ht="102.75" customHeight="1" x14ac:dyDescent="0.25">
      <c r="B59" s="73"/>
      <c r="C59" s="73"/>
      <c r="D59" s="73"/>
      <c r="E59" s="73"/>
      <c r="F59" s="73"/>
    </row>
    <row r="60" spans="2:11" x14ac:dyDescent="0.25">
      <c r="B60" s="73"/>
      <c r="C60" s="73"/>
      <c r="D60" s="73"/>
      <c r="E60" s="73"/>
      <c r="F60" s="73"/>
    </row>
    <row r="61" spans="2:11" ht="69.75" customHeight="1" x14ac:dyDescent="0.25">
      <c r="B61" s="73"/>
      <c r="C61" s="73"/>
      <c r="D61" s="73"/>
      <c r="E61" s="73"/>
      <c r="F61" s="73"/>
    </row>
    <row r="62" spans="2:11" x14ac:dyDescent="0.25">
      <c r="J62" s="73"/>
      <c r="K62" s="73"/>
    </row>
  </sheetData>
  <protectedRanges>
    <protectedRange algorithmName="SHA-512" hashValue="poroQ6AOCp+PrXUU2E1NErYIFQH5Vb3rJFa5nEtjHcNd2xSuKk5xyHjxyYSj0ALpLP6WOSx/b1qjw/2zF/GuYQ==" saltValue="BNE7NYaoREnSby9ppJtTLw==" spinCount="100000" sqref="C15 C38 C64" name="Rango3"/>
    <protectedRange algorithmName="SHA-512" hashValue="tUGEn7omUASg2YnQUJFND+3qd4CF5BwoMj/cO/PA5wQF78Nm09A5xeFuei1S8jh1bhgAFdQbH1BhWbmB36F/gA==" saltValue="u/5i146fT7pcplAmbBqlww==" spinCount="100000" sqref="F41:F44 F67:F88 F18:F23" name="Rango2"/>
    <protectedRange algorithmName="SHA-512" hashValue="Fy74vzPqavg1HALyDiBARtZGduGibbQdzXJe+BveEjcDaIaSKVQYGdBygGaDWkJoeeVlREXXbIlDQeT5XgK+1A==" saltValue="3DEii5LrexWdXZ4VPlmQPg==" spinCount="100000" sqref="I13:J16 J36:K39 J62:K65" name="Rango1"/>
  </protectedRanges>
  <mergeCells count="7">
    <mergeCell ref="J62:K62"/>
    <mergeCell ref="B9:F10"/>
    <mergeCell ref="B11:F12"/>
    <mergeCell ref="I13:J13"/>
    <mergeCell ref="J36:K36"/>
    <mergeCell ref="B58:F59"/>
    <mergeCell ref="B60:F61"/>
  </mergeCells>
  <dataValidations count="2">
    <dataValidation type="list" allowBlank="1" showInputMessage="1" showErrorMessage="1" sqref="C14 C63" xr:uid="{BC95144F-B854-4F52-8F44-60AF29505AB5}">
      <formula1>$D$14:$F$14</formula1>
    </dataValidation>
    <dataValidation type="list" allowBlank="1" showInputMessage="1" showErrorMessage="1" sqref="B55" xr:uid="{208F14F5-EA56-4582-924C-AEF16F228268}">
      <formula1>$B$6:$B$7</formula1>
    </dataValidation>
  </dataValidations>
  <pageMargins left="0.23622047244094491" right="0.23622047244094491" top="0.94488188976377963" bottom="0.74803149606299213" header="0.31496062992125984" footer="0.31496062992125984"/>
  <pageSetup scale="86" fitToHeight="0" orientation="portrait" r:id="rId1"/>
  <rowBreaks count="2" manualBreakCount="2">
    <brk id="31" min="1" max="5" man="1"/>
    <brk id="54" max="5" man="1"/>
  </rowBreaks>
  <colBreaks count="2" manualBreakCount="2">
    <brk id="1" min="30" max="66" man="1"/>
    <brk id="6" max="1048575" man="1"/>
  </colBreak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4083-46DF-43FC-9D94-FBB484C2AD7F}">
  <sheetPr>
    <pageSetUpPr fitToPage="1"/>
  </sheetPr>
  <dimension ref="B6:K78"/>
  <sheetViews>
    <sheetView topLeftCell="A12" zoomScaleNormal="100" workbookViewId="0">
      <selection activeCell="B23" sqref="B23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87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5" t="s">
        <v>98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$F$38</f>
        <v>29974.250000000004</v>
      </c>
    </row>
    <row r="15" spans="2:10" x14ac:dyDescent="0.25">
      <c r="B15" t="s">
        <v>52</v>
      </c>
      <c r="C15" s="8">
        <f>+F38*J17</f>
        <v>103.82115029150002</v>
      </c>
      <c r="D15" s="52" t="s">
        <v>77</v>
      </c>
      <c r="I15" t="s">
        <v>54</v>
      </c>
      <c r="J15">
        <f>+C38</f>
        <v>25.519999999999996</v>
      </c>
    </row>
    <row r="16" spans="2:10" ht="15.75" thickBot="1" x14ac:dyDescent="0.3">
      <c r="D16" s="4" t="s">
        <v>55</v>
      </c>
      <c r="I16" t="s">
        <v>56</v>
      </c>
      <c r="J16" s="9"/>
    </row>
    <row r="17" spans="2:10" ht="16.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J17" s="63">
        <v>3.463678E-3</v>
      </c>
    </row>
    <row r="18" spans="2:10" ht="15.75" thickBot="1" x14ac:dyDescent="0.3">
      <c r="B18" s="12" t="s">
        <v>15</v>
      </c>
      <c r="C18" s="17">
        <v>3.36</v>
      </c>
      <c r="D18" s="13" t="s">
        <v>55</v>
      </c>
      <c r="E18" s="51">
        <v>1150</v>
      </c>
      <c r="F18" s="15">
        <f>+C18*E18</f>
        <v>3864</v>
      </c>
    </row>
    <row r="19" spans="2:10" ht="15.75" thickBot="1" x14ac:dyDescent="0.3">
      <c r="B19" s="12" t="s">
        <v>15</v>
      </c>
      <c r="C19" s="17">
        <v>2.2050000000000001</v>
      </c>
      <c r="D19" s="13" t="s">
        <v>55</v>
      </c>
      <c r="E19" s="51">
        <v>1160</v>
      </c>
      <c r="F19" s="15">
        <f t="shared" ref="F19:F37" si="0">+C19*E19</f>
        <v>2557.8000000000002</v>
      </c>
    </row>
    <row r="20" spans="2:10" ht="15.75" thickBot="1" x14ac:dyDescent="0.3">
      <c r="B20" s="12" t="s">
        <v>15</v>
      </c>
      <c r="C20" s="34">
        <v>1.06</v>
      </c>
      <c r="D20" s="13" t="s">
        <v>55</v>
      </c>
      <c r="E20" s="51">
        <v>1140</v>
      </c>
      <c r="F20" s="15">
        <f t="shared" si="0"/>
        <v>1208.4000000000001</v>
      </c>
    </row>
    <row r="21" spans="2:10" ht="15.75" thickBot="1" x14ac:dyDescent="0.3">
      <c r="B21" s="12" t="s">
        <v>15</v>
      </c>
      <c r="C21" s="34">
        <v>1.085</v>
      </c>
      <c r="D21" s="13" t="s">
        <v>55</v>
      </c>
      <c r="E21" s="51">
        <v>1200</v>
      </c>
      <c r="F21" s="15">
        <f t="shared" si="0"/>
        <v>1302</v>
      </c>
    </row>
    <row r="22" spans="2:10" ht="15.75" thickBot="1" x14ac:dyDescent="0.3">
      <c r="B22" s="12" t="s">
        <v>15</v>
      </c>
      <c r="C22" s="34">
        <v>1.0449999999999999</v>
      </c>
      <c r="D22" s="13" t="s">
        <v>55</v>
      </c>
      <c r="E22" s="51">
        <v>1180</v>
      </c>
      <c r="F22" s="15">
        <f t="shared" si="0"/>
        <v>1233.0999999999999</v>
      </c>
    </row>
    <row r="23" spans="2:10" ht="15.75" thickBot="1" x14ac:dyDescent="0.3">
      <c r="B23" s="12" t="s">
        <v>15</v>
      </c>
      <c r="C23" s="34">
        <v>0.98</v>
      </c>
      <c r="D23" s="13" t="s">
        <v>55</v>
      </c>
      <c r="E23" s="51">
        <v>1140</v>
      </c>
      <c r="F23" s="15">
        <f t="shared" si="0"/>
        <v>1117.2</v>
      </c>
    </row>
    <row r="24" spans="2:10" ht="15.75" thickBot="1" x14ac:dyDescent="0.3">
      <c r="B24" s="12" t="s">
        <v>15</v>
      </c>
      <c r="C24" s="34">
        <v>1.0349999999999999</v>
      </c>
      <c r="D24" s="13" t="s">
        <v>55</v>
      </c>
      <c r="E24" s="51">
        <v>1220</v>
      </c>
      <c r="F24" s="15">
        <f t="shared" si="0"/>
        <v>1262.6999999999998</v>
      </c>
    </row>
    <row r="25" spans="2:10" ht="15.75" thickBot="1" x14ac:dyDescent="0.3">
      <c r="B25" s="12" t="s">
        <v>15</v>
      </c>
      <c r="C25" s="34">
        <v>1.0249999999999999</v>
      </c>
      <c r="D25" s="13" t="s">
        <v>55</v>
      </c>
      <c r="E25" s="55">
        <v>1200</v>
      </c>
      <c r="F25" s="15">
        <f t="shared" si="0"/>
        <v>1230</v>
      </c>
    </row>
    <row r="26" spans="2:10" ht="15.75" thickBot="1" x14ac:dyDescent="0.3">
      <c r="B26" s="12" t="s">
        <v>15</v>
      </c>
      <c r="C26" s="34">
        <v>1</v>
      </c>
      <c r="D26" s="13" t="s">
        <v>55</v>
      </c>
      <c r="E26" s="67">
        <v>1150</v>
      </c>
      <c r="F26" s="15">
        <f t="shared" si="0"/>
        <v>1150</v>
      </c>
    </row>
    <row r="27" spans="2:10" ht="15.75" thickBot="1" x14ac:dyDescent="0.3">
      <c r="B27" s="12" t="s">
        <v>15</v>
      </c>
      <c r="C27" s="34">
        <v>1.085</v>
      </c>
      <c r="D27" s="13" t="s">
        <v>55</v>
      </c>
      <c r="E27" s="67">
        <v>1220</v>
      </c>
      <c r="F27" s="15">
        <f t="shared" si="0"/>
        <v>1323.7</v>
      </c>
    </row>
    <row r="28" spans="2:10" ht="15.75" thickBot="1" x14ac:dyDescent="0.3">
      <c r="B28" s="12" t="s">
        <v>15</v>
      </c>
      <c r="C28" s="34">
        <v>0.98</v>
      </c>
      <c r="D28" s="13" t="s">
        <v>55</v>
      </c>
      <c r="E28" s="67">
        <v>1140</v>
      </c>
      <c r="F28" s="15">
        <f t="shared" si="0"/>
        <v>1117.2</v>
      </c>
    </row>
    <row r="29" spans="2:10" ht="15.75" thickBot="1" x14ac:dyDescent="0.3">
      <c r="B29" s="12" t="s">
        <v>15</v>
      </c>
      <c r="C29" s="34">
        <v>1.0549999999999999</v>
      </c>
      <c r="D29" s="13" t="s">
        <v>55</v>
      </c>
      <c r="E29" s="67">
        <v>1180</v>
      </c>
      <c r="F29" s="15">
        <f t="shared" si="0"/>
        <v>1244.8999999999999</v>
      </c>
    </row>
    <row r="30" spans="2:10" ht="15.75" thickBot="1" x14ac:dyDescent="0.3">
      <c r="B30" s="12" t="s">
        <v>15</v>
      </c>
      <c r="C30" s="34">
        <v>1.1200000000000001</v>
      </c>
      <c r="D30" s="13" t="s">
        <v>55</v>
      </c>
      <c r="E30" s="67">
        <v>1140</v>
      </c>
      <c r="F30" s="15">
        <f t="shared" si="0"/>
        <v>1276.8000000000002</v>
      </c>
    </row>
    <row r="31" spans="2:10" ht="15.75" thickBot="1" x14ac:dyDescent="0.3">
      <c r="B31" s="12" t="s">
        <v>15</v>
      </c>
      <c r="C31" s="34">
        <v>2.1850000000000001</v>
      </c>
      <c r="D31" s="13" t="s">
        <v>55</v>
      </c>
      <c r="E31" s="67">
        <v>1220</v>
      </c>
      <c r="F31" s="15">
        <f t="shared" si="0"/>
        <v>2665.7000000000003</v>
      </c>
    </row>
    <row r="32" spans="2:10" ht="15.75" thickBot="1" x14ac:dyDescent="0.3">
      <c r="B32" s="12" t="s">
        <v>15</v>
      </c>
      <c r="C32" s="34">
        <v>1.095</v>
      </c>
      <c r="D32" s="13" t="s">
        <v>55</v>
      </c>
      <c r="E32" s="55">
        <v>1180</v>
      </c>
      <c r="F32" s="15">
        <f t="shared" si="0"/>
        <v>1292.0999999999999</v>
      </c>
    </row>
    <row r="33" spans="2:6" ht="15.75" thickBot="1" x14ac:dyDescent="0.3">
      <c r="B33" s="12" t="s">
        <v>15</v>
      </c>
      <c r="C33" s="34">
        <v>1.0049999999999999</v>
      </c>
      <c r="D33" s="13" t="s">
        <v>55</v>
      </c>
      <c r="E33" s="67">
        <v>1230</v>
      </c>
      <c r="F33" s="15">
        <f t="shared" si="0"/>
        <v>1236.1499999999999</v>
      </c>
    </row>
    <row r="34" spans="2:6" ht="15.75" thickBot="1" x14ac:dyDescent="0.3">
      <c r="B34" s="12" t="s">
        <v>15</v>
      </c>
      <c r="C34" s="44">
        <v>1.0349999999999999</v>
      </c>
      <c r="D34" s="13" t="s">
        <v>55</v>
      </c>
      <c r="E34" s="67">
        <v>1160</v>
      </c>
      <c r="F34" s="15">
        <f t="shared" si="0"/>
        <v>1200.5999999999999</v>
      </c>
    </row>
    <row r="35" spans="2:6" ht="15.75" thickBot="1" x14ac:dyDescent="0.3">
      <c r="B35" s="12" t="s">
        <v>15</v>
      </c>
      <c r="C35" s="44">
        <v>1.0649999999999999</v>
      </c>
      <c r="D35" s="13" t="s">
        <v>55</v>
      </c>
      <c r="E35" s="67">
        <v>1160</v>
      </c>
      <c r="F35" s="15">
        <f t="shared" si="0"/>
        <v>1235.3999999999999</v>
      </c>
    </row>
    <row r="36" spans="2:6" ht="15.75" thickBot="1" x14ac:dyDescent="0.3">
      <c r="B36" s="12" t="s">
        <v>15</v>
      </c>
      <c r="C36" s="44">
        <v>1.0549999999999999</v>
      </c>
      <c r="D36" s="13" t="s">
        <v>55</v>
      </c>
      <c r="E36" s="67">
        <v>1120</v>
      </c>
      <c r="F36" s="15">
        <f t="shared" si="0"/>
        <v>1181.5999999999999</v>
      </c>
    </row>
    <row r="37" spans="2:6" ht="15.75" thickBot="1" x14ac:dyDescent="0.3">
      <c r="B37" s="12" t="s">
        <v>15</v>
      </c>
      <c r="C37" s="44">
        <v>1.0449999999999999</v>
      </c>
      <c r="D37" s="13" t="s">
        <v>55</v>
      </c>
      <c r="E37" s="67">
        <v>1220</v>
      </c>
      <c r="F37" s="15">
        <f t="shared" si="0"/>
        <v>1274.8999999999999</v>
      </c>
    </row>
    <row r="38" spans="2:6" ht="15.75" thickBot="1" x14ac:dyDescent="0.3">
      <c r="C38" s="65">
        <f>SUM(C18:C37)</f>
        <v>25.519999999999996</v>
      </c>
      <c r="E38" s="66" t="s">
        <v>78</v>
      </c>
      <c r="F38" s="64">
        <f>SUM(F18:F37)</f>
        <v>29974.250000000004</v>
      </c>
    </row>
    <row r="39" spans="2:6" x14ac:dyDescent="0.25">
      <c r="C39" s="58"/>
      <c r="D39" s="59"/>
      <c r="E39" s="60"/>
      <c r="F39" s="61"/>
    </row>
    <row r="41" spans="2:6" x14ac:dyDescent="0.25">
      <c r="B41" s="23" t="s">
        <v>80</v>
      </c>
      <c r="C41" s="24"/>
      <c r="D41" s="24"/>
      <c r="E41" s="24"/>
    </row>
    <row r="42" spans="2:6" x14ac:dyDescent="0.25">
      <c r="B42" s="25"/>
      <c r="C42" s="24"/>
      <c r="D42" s="24"/>
      <c r="E42" s="24"/>
    </row>
    <row r="43" spans="2:6" x14ac:dyDescent="0.25">
      <c r="B43" s="26"/>
      <c r="C43" s="24"/>
      <c r="D43" s="26" t="s">
        <v>64</v>
      </c>
      <c r="E43" s="24"/>
    </row>
    <row r="44" spans="2:6" x14ac:dyDescent="0.25">
      <c r="B44" s="26"/>
      <c r="C44" s="24"/>
      <c r="D44" s="24"/>
      <c r="E44" s="24"/>
    </row>
    <row r="45" spans="2:6" x14ac:dyDescent="0.25">
      <c r="B45" s="26" t="s">
        <v>74</v>
      </c>
      <c r="C45" s="24"/>
      <c r="D45" s="26" t="s">
        <v>65</v>
      </c>
      <c r="E45" s="24"/>
    </row>
    <row r="46" spans="2:6" x14ac:dyDescent="0.25">
      <c r="B46" s="26"/>
      <c r="C46" s="24"/>
      <c r="D46" s="26" t="s">
        <v>66</v>
      </c>
      <c r="E46" s="24"/>
    </row>
    <row r="48" spans="2:6" ht="18.75" customHeight="1" x14ac:dyDescent="0.25"/>
    <row r="50" spans="10:11" ht="9" customHeight="1" x14ac:dyDescent="0.25"/>
    <row r="51" spans="10:11" hidden="1" x14ac:dyDescent="0.25"/>
    <row r="52" spans="10:11" x14ac:dyDescent="0.25">
      <c r="J52" s="73"/>
      <c r="K52" s="73"/>
    </row>
    <row r="74" spans="2:11" x14ac:dyDescent="0.25">
      <c r="B74" s="73"/>
      <c r="C74" s="73"/>
      <c r="D74" s="73"/>
      <c r="E74" s="73"/>
      <c r="F74" s="73"/>
    </row>
    <row r="75" spans="2:11" ht="102.75" customHeight="1" x14ac:dyDescent="0.25">
      <c r="B75" s="73"/>
      <c r="C75" s="73"/>
      <c r="D75" s="73"/>
      <c r="E75" s="73"/>
      <c r="F75" s="73"/>
    </row>
    <row r="76" spans="2:11" x14ac:dyDescent="0.25">
      <c r="B76" s="73"/>
      <c r="C76" s="73"/>
      <c r="D76" s="73"/>
      <c r="E76" s="73"/>
      <c r="F76" s="73"/>
    </row>
    <row r="77" spans="2:11" ht="69.75" customHeight="1" x14ac:dyDescent="0.25">
      <c r="B77" s="73"/>
      <c r="C77" s="73"/>
      <c r="D77" s="73"/>
      <c r="E77" s="73"/>
      <c r="F77" s="73"/>
    </row>
    <row r="78" spans="2:11" x14ac:dyDescent="0.25">
      <c r="J78" s="73"/>
      <c r="K78" s="73"/>
    </row>
  </sheetData>
  <protectedRanges>
    <protectedRange algorithmName="SHA-512" hashValue="poroQ6AOCp+PrXUU2E1NErYIFQH5Vb3rJFa5nEtjHcNd2xSuKk5xyHjxyYSj0ALpLP6WOSx/b1qjw/2zF/GuYQ==" saltValue="BNE7NYaoREnSby9ppJtTLw==" spinCount="100000" sqref="C15 C54 C80" name="Rango3"/>
    <protectedRange algorithmName="SHA-512" hashValue="tUGEn7omUASg2YnQUJFND+3qd4CF5BwoMj/cO/PA5wQF78Nm09A5xeFuei1S8jh1bhgAFdQbH1BhWbmB36F/gA==" saltValue="u/5i146fT7pcplAmbBqlww==" spinCount="100000" sqref="F57:F60 F83:F104 F18:F39" name="Rango2"/>
    <protectedRange algorithmName="SHA-512" hashValue="Fy74vzPqavg1HALyDiBARtZGduGibbQdzXJe+BveEjcDaIaSKVQYGdBygGaDWkJoeeVlREXXbIlDQeT5XgK+1A==" saltValue="3DEii5LrexWdXZ4VPlmQPg==" spinCount="100000" sqref="I13:J16 J52:K55 J78:K81" name="Rango1"/>
  </protectedRanges>
  <mergeCells count="7">
    <mergeCell ref="J78:K78"/>
    <mergeCell ref="B9:F10"/>
    <mergeCell ref="B11:F12"/>
    <mergeCell ref="I13:J13"/>
    <mergeCell ref="J52:K52"/>
    <mergeCell ref="B74:F75"/>
    <mergeCell ref="B76:F77"/>
  </mergeCells>
  <dataValidations count="2">
    <dataValidation type="list" allowBlank="1" showInputMessage="1" showErrorMessage="1" sqref="B71" xr:uid="{155766DB-8F8A-4DE1-8BAD-809A836B44C5}">
      <formula1>$B$6:$B$7</formula1>
    </dataValidation>
    <dataValidation type="list" allowBlank="1" showInputMessage="1" showErrorMessage="1" sqref="C14 C79" xr:uid="{4EFBDC69-C4F8-4A94-A2F1-F968A4E88934}">
      <formula1>$D$14:$F$14</formula1>
    </dataValidation>
  </dataValidations>
  <pageMargins left="0.23622047244094491" right="0.23622047244094491" top="0.94488188976377963" bottom="0.74803149606299213" header="0.31496062992125984" footer="0.31496062992125984"/>
  <pageSetup scale="86" fitToHeight="0" orientation="portrait" r:id="rId1"/>
  <rowBreaks count="2" manualBreakCount="2">
    <brk id="47" min="1" max="5" man="1"/>
    <brk id="70" max="5" man="1"/>
  </rowBreaks>
  <colBreaks count="2" manualBreakCount="2">
    <brk id="1" min="46" max="82" man="1"/>
    <brk id="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459DC-68A0-412B-B602-2A50B6EBD98E}">
  <sheetPr>
    <pageSetUpPr fitToPage="1"/>
  </sheetPr>
  <dimension ref="B6:K78"/>
  <sheetViews>
    <sheetView topLeftCell="A10" zoomScaleNormal="100" workbookViewId="0">
      <selection activeCell="B20" sqref="B20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87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5" t="s">
        <v>102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$F$38</f>
        <v>28333.3</v>
      </c>
    </row>
    <row r="15" spans="2:10" x14ac:dyDescent="0.25">
      <c r="B15" t="s">
        <v>52</v>
      </c>
      <c r="C15" s="8">
        <f>+F38*J17</f>
        <v>98.1374278774</v>
      </c>
      <c r="D15" s="52" t="s">
        <v>77</v>
      </c>
      <c r="I15" t="s">
        <v>54</v>
      </c>
      <c r="J15">
        <f>+C38</f>
        <v>23.999999999999996</v>
      </c>
    </row>
    <row r="16" spans="2:10" ht="15.75" thickBot="1" x14ac:dyDescent="0.3">
      <c r="D16" s="4" t="s">
        <v>55</v>
      </c>
      <c r="I16" t="s">
        <v>56</v>
      </c>
      <c r="J16" s="9"/>
    </row>
    <row r="17" spans="2:10" ht="16.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J17" s="63">
        <v>3.463678E-3</v>
      </c>
    </row>
    <row r="18" spans="2:10" ht="15.75" thickBot="1" x14ac:dyDescent="0.3">
      <c r="B18" s="12" t="s">
        <v>15</v>
      </c>
      <c r="C18" s="17">
        <v>1.08</v>
      </c>
      <c r="D18" s="13" t="s">
        <v>55</v>
      </c>
      <c r="E18" s="51">
        <v>1160</v>
      </c>
      <c r="F18" s="15">
        <f>+C18*E18</f>
        <v>1252.8000000000002</v>
      </c>
    </row>
    <row r="19" spans="2:10" ht="24.75" thickBot="1" x14ac:dyDescent="0.3">
      <c r="B19" s="33" t="s">
        <v>11</v>
      </c>
      <c r="C19" s="17">
        <v>0.97499999999999998</v>
      </c>
      <c r="D19" s="13" t="s">
        <v>55</v>
      </c>
      <c r="E19" s="51">
        <v>1280</v>
      </c>
      <c r="F19" s="15">
        <f t="shared" ref="F19:F37" si="0">+C19*E19</f>
        <v>1248</v>
      </c>
    </row>
    <row r="20" spans="2:10" ht="24.75" thickBot="1" x14ac:dyDescent="0.3">
      <c r="B20" s="33" t="s">
        <v>11</v>
      </c>
      <c r="C20" s="34">
        <v>0.97</v>
      </c>
      <c r="D20" s="13" t="s">
        <v>55</v>
      </c>
      <c r="E20" s="51">
        <v>1320</v>
      </c>
      <c r="F20" s="15">
        <f t="shared" si="0"/>
        <v>1280.3999999999999</v>
      </c>
    </row>
    <row r="21" spans="2:10" ht="15.75" thickBot="1" x14ac:dyDescent="0.3">
      <c r="B21" s="12" t="s">
        <v>15</v>
      </c>
      <c r="C21" s="34">
        <v>2.0750000000000002</v>
      </c>
      <c r="D21" s="13" t="s">
        <v>55</v>
      </c>
      <c r="E21" s="51">
        <v>1160</v>
      </c>
      <c r="F21" s="15">
        <f t="shared" si="0"/>
        <v>2407</v>
      </c>
    </row>
    <row r="22" spans="2:10" ht="15.75" thickBot="1" x14ac:dyDescent="0.3">
      <c r="B22" s="12" t="s">
        <v>15</v>
      </c>
      <c r="C22" s="34">
        <v>1.075</v>
      </c>
      <c r="D22" s="13" t="s">
        <v>55</v>
      </c>
      <c r="E22" s="51">
        <v>1180</v>
      </c>
      <c r="F22" s="15">
        <f t="shared" si="0"/>
        <v>1268.5</v>
      </c>
    </row>
    <row r="23" spans="2:10" ht="15.75" thickBot="1" x14ac:dyDescent="0.3">
      <c r="B23" s="12" t="s">
        <v>15</v>
      </c>
      <c r="C23" s="34">
        <v>1</v>
      </c>
      <c r="D23" s="13" t="s">
        <v>55</v>
      </c>
      <c r="E23" s="51">
        <v>1140</v>
      </c>
      <c r="F23" s="15">
        <f t="shared" si="0"/>
        <v>1140</v>
      </c>
    </row>
    <row r="24" spans="2:10" ht="15.75" thickBot="1" x14ac:dyDescent="0.3">
      <c r="B24" s="12" t="s">
        <v>15</v>
      </c>
      <c r="C24" s="34">
        <v>1.0449999999999999</v>
      </c>
      <c r="D24" s="13" t="s">
        <v>55</v>
      </c>
      <c r="E24" s="51">
        <v>1140</v>
      </c>
      <c r="F24" s="15">
        <f t="shared" si="0"/>
        <v>1191.3</v>
      </c>
    </row>
    <row r="25" spans="2:10" ht="15.75" thickBot="1" x14ac:dyDescent="0.3">
      <c r="B25" s="12" t="s">
        <v>15</v>
      </c>
      <c r="C25" s="34">
        <v>1.0549999999999999</v>
      </c>
      <c r="D25" s="13" t="s">
        <v>55</v>
      </c>
      <c r="E25" s="55">
        <v>1200</v>
      </c>
      <c r="F25" s="15">
        <f t="shared" si="0"/>
        <v>1266</v>
      </c>
    </row>
    <row r="26" spans="2:10" ht="15.75" thickBot="1" x14ac:dyDescent="0.3">
      <c r="B26" s="12" t="s">
        <v>15</v>
      </c>
      <c r="C26" s="34">
        <v>0.95</v>
      </c>
      <c r="D26" s="13" t="s">
        <v>55</v>
      </c>
      <c r="E26" s="67">
        <v>1180</v>
      </c>
      <c r="F26" s="15">
        <f t="shared" si="0"/>
        <v>1121</v>
      </c>
    </row>
    <row r="27" spans="2:10" ht="15.75" thickBot="1" x14ac:dyDescent="0.3">
      <c r="B27" s="12" t="s">
        <v>15</v>
      </c>
      <c r="C27" s="34">
        <v>1.04</v>
      </c>
      <c r="D27" s="13" t="s">
        <v>55</v>
      </c>
      <c r="E27" s="67">
        <v>1200</v>
      </c>
      <c r="F27" s="15">
        <f t="shared" si="0"/>
        <v>1248</v>
      </c>
    </row>
    <row r="28" spans="2:10" ht="15.75" thickBot="1" x14ac:dyDescent="0.3">
      <c r="B28" s="12" t="s">
        <v>15</v>
      </c>
      <c r="C28" s="34">
        <v>1.05</v>
      </c>
      <c r="D28" s="13" t="s">
        <v>55</v>
      </c>
      <c r="E28" s="67">
        <v>1140</v>
      </c>
      <c r="F28" s="15">
        <f t="shared" si="0"/>
        <v>1197</v>
      </c>
    </row>
    <row r="29" spans="2:10" ht="15.75" thickBot="1" x14ac:dyDescent="0.3">
      <c r="B29" s="12" t="s">
        <v>15</v>
      </c>
      <c r="C29" s="34">
        <v>1</v>
      </c>
      <c r="D29" s="13" t="s">
        <v>55</v>
      </c>
      <c r="E29" s="67">
        <v>1140</v>
      </c>
      <c r="F29" s="15">
        <f t="shared" si="0"/>
        <v>1140</v>
      </c>
    </row>
    <row r="30" spans="2:10" ht="15.75" thickBot="1" x14ac:dyDescent="0.3">
      <c r="B30" s="12" t="s">
        <v>15</v>
      </c>
      <c r="C30" s="34">
        <v>0.78</v>
      </c>
      <c r="D30" s="13" t="s">
        <v>55</v>
      </c>
      <c r="E30" s="67">
        <v>1200</v>
      </c>
      <c r="F30" s="15">
        <f t="shared" si="0"/>
        <v>936</v>
      </c>
    </row>
    <row r="31" spans="2:10" ht="15.75" thickBot="1" x14ac:dyDescent="0.3">
      <c r="B31" s="12" t="s">
        <v>15</v>
      </c>
      <c r="C31" s="34">
        <v>1.1499999999999999</v>
      </c>
      <c r="D31" s="13" t="s">
        <v>55</v>
      </c>
      <c r="E31" s="67">
        <v>1140</v>
      </c>
      <c r="F31" s="15">
        <f t="shared" si="0"/>
        <v>1311</v>
      </c>
    </row>
    <row r="32" spans="2:10" ht="15.75" thickBot="1" x14ac:dyDescent="0.3">
      <c r="B32" s="12" t="s">
        <v>15</v>
      </c>
      <c r="C32" s="34">
        <v>1.1850000000000001</v>
      </c>
      <c r="D32" s="13" t="s">
        <v>55</v>
      </c>
      <c r="E32" s="55">
        <v>1160</v>
      </c>
      <c r="F32" s="15">
        <f t="shared" si="0"/>
        <v>1374.6000000000001</v>
      </c>
    </row>
    <row r="33" spans="2:6" ht="15.75" thickBot="1" x14ac:dyDescent="0.3">
      <c r="B33" s="12" t="s">
        <v>15</v>
      </c>
      <c r="C33" s="34">
        <v>1.0549999999999999</v>
      </c>
      <c r="D33" s="13" t="s">
        <v>55</v>
      </c>
      <c r="E33" s="67">
        <v>1140</v>
      </c>
      <c r="F33" s="15">
        <f t="shared" si="0"/>
        <v>1202.6999999999998</v>
      </c>
    </row>
    <row r="34" spans="2:6" ht="15.75" thickBot="1" x14ac:dyDescent="0.3">
      <c r="B34" s="12" t="s">
        <v>15</v>
      </c>
      <c r="C34" s="44">
        <v>3.3050000000000002</v>
      </c>
      <c r="D34" s="13" t="s">
        <v>55</v>
      </c>
      <c r="E34" s="67">
        <v>1140</v>
      </c>
      <c r="F34" s="15">
        <f t="shared" si="0"/>
        <v>3767.7000000000003</v>
      </c>
    </row>
    <row r="35" spans="2:6" ht="15.75" thickBot="1" x14ac:dyDescent="0.3">
      <c r="B35" s="12" t="s">
        <v>15</v>
      </c>
      <c r="C35" s="44">
        <v>1.115</v>
      </c>
      <c r="D35" s="13" t="s">
        <v>55</v>
      </c>
      <c r="E35" s="67">
        <v>1140</v>
      </c>
      <c r="F35" s="15">
        <f t="shared" si="0"/>
        <v>1271.0999999999999</v>
      </c>
    </row>
    <row r="36" spans="2:6" ht="24.75" thickBot="1" x14ac:dyDescent="0.3">
      <c r="B36" s="33" t="s">
        <v>11</v>
      </c>
      <c r="C36" s="44">
        <v>1.0900000000000001</v>
      </c>
      <c r="D36" s="13" t="s">
        <v>55</v>
      </c>
      <c r="E36" s="67">
        <v>1380</v>
      </c>
      <c r="F36" s="15">
        <f t="shared" si="0"/>
        <v>1504.2</v>
      </c>
    </row>
    <row r="37" spans="2:6" ht="24.75" thickBot="1" x14ac:dyDescent="0.3">
      <c r="B37" s="33" t="s">
        <v>11</v>
      </c>
      <c r="C37" s="44">
        <v>1.0049999999999999</v>
      </c>
      <c r="D37" s="13" t="s">
        <v>55</v>
      </c>
      <c r="E37" s="67">
        <v>1200</v>
      </c>
      <c r="F37" s="15">
        <f t="shared" si="0"/>
        <v>1205.9999999999998</v>
      </c>
    </row>
    <row r="38" spans="2:6" ht="15.75" thickBot="1" x14ac:dyDescent="0.3">
      <c r="C38" s="65">
        <f>SUM(C18:C37)</f>
        <v>23.999999999999996</v>
      </c>
      <c r="E38" s="66" t="s">
        <v>78</v>
      </c>
      <c r="F38" s="64">
        <f>SUM(F18:F37)</f>
        <v>28333.3</v>
      </c>
    </row>
    <row r="39" spans="2:6" x14ac:dyDescent="0.25">
      <c r="C39" s="58"/>
      <c r="D39" s="59"/>
      <c r="E39" s="60"/>
      <c r="F39" s="61"/>
    </row>
    <row r="41" spans="2:6" x14ac:dyDescent="0.25">
      <c r="B41" s="23" t="s">
        <v>80</v>
      </c>
      <c r="C41" s="24"/>
      <c r="D41" s="24"/>
      <c r="E41" s="24"/>
    </row>
    <row r="42" spans="2:6" x14ac:dyDescent="0.25">
      <c r="B42" s="25"/>
      <c r="C42" s="24"/>
      <c r="D42" s="26" t="s">
        <v>64</v>
      </c>
      <c r="E42" s="24"/>
    </row>
    <row r="43" spans="2:6" x14ac:dyDescent="0.25">
      <c r="B43" s="26"/>
      <c r="C43" s="24"/>
      <c r="D43" s="26" t="s">
        <v>65</v>
      </c>
      <c r="E43" s="24"/>
    </row>
    <row r="44" spans="2:6" x14ac:dyDescent="0.25">
      <c r="B44" s="26"/>
      <c r="C44" s="24"/>
      <c r="D44" s="26" t="s">
        <v>66</v>
      </c>
      <c r="E44" s="24"/>
    </row>
    <row r="45" spans="2:6" x14ac:dyDescent="0.25">
      <c r="B45" s="26" t="s">
        <v>74</v>
      </c>
      <c r="C45" s="24"/>
      <c r="D45" s="26"/>
      <c r="E45" s="24"/>
    </row>
    <row r="46" spans="2:6" x14ac:dyDescent="0.25">
      <c r="B46" s="26"/>
      <c r="C46" s="24"/>
      <c r="D46" s="26"/>
      <c r="E46" s="24"/>
    </row>
    <row r="48" spans="2:6" ht="18.75" customHeight="1" x14ac:dyDescent="0.25"/>
    <row r="50" spans="10:11" ht="9" customHeight="1" x14ac:dyDescent="0.25"/>
    <row r="51" spans="10:11" hidden="1" x14ac:dyDescent="0.25"/>
    <row r="52" spans="10:11" x14ac:dyDescent="0.25">
      <c r="J52" s="73"/>
      <c r="K52" s="73"/>
    </row>
    <row r="74" spans="2:11" x14ac:dyDescent="0.25">
      <c r="B74" s="73"/>
      <c r="C74" s="73"/>
      <c r="D74" s="73"/>
      <c r="E74" s="73"/>
      <c r="F74" s="73"/>
    </row>
    <row r="75" spans="2:11" ht="102.75" customHeight="1" x14ac:dyDescent="0.25">
      <c r="B75" s="73"/>
      <c r="C75" s="73"/>
      <c r="D75" s="73"/>
      <c r="E75" s="73"/>
      <c r="F75" s="73"/>
    </row>
    <row r="76" spans="2:11" x14ac:dyDescent="0.25">
      <c r="B76" s="73"/>
      <c r="C76" s="73"/>
      <c r="D76" s="73"/>
      <c r="E76" s="73"/>
      <c r="F76" s="73"/>
    </row>
    <row r="77" spans="2:11" ht="69.75" customHeight="1" x14ac:dyDescent="0.25">
      <c r="B77" s="73"/>
      <c r="C77" s="73"/>
      <c r="D77" s="73"/>
      <c r="E77" s="73"/>
      <c r="F77" s="73"/>
    </row>
    <row r="78" spans="2:11" x14ac:dyDescent="0.25">
      <c r="J78" s="73"/>
      <c r="K78" s="73"/>
    </row>
  </sheetData>
  <protectedRanges>
    <protectedRange algorithmName="SHA-512" hashValue="poroQ6AOCp+PrXUU2E1NErYIFQH5Vb3rJFa5nEtjHcNd2xSuKk5xyHjxyYSj0ALpLP6WOSx/b1qjw/2zF/GuYQ==" saltValue="BNE7NYaoREnSby9ppJtTLw==" spinCount="100000" sqref="C15 C54 C80" name="Rango3"/>
    <protectedRange algorithmName="SHA-512" hashValue="tUGEn7omUASg2YnQUJFND+3qd4CF5BwoMj/cO/PA5wQF78Nm09A5xeFuei1S8jh1bhgAFdQbH1BhWbmB36F/gA==" saltValue="u/5i146fT7pcplAmbBqlww==" spinCount="100000" sqref="F57:F60 F83:F104 F18:F39" name="Rango2"/>
    <protectedRange algorithmName="SHA-512" hashValue="Fy74vzPqavg1HALyDiBARtZGduGibbQdzXJe+BveEjcDaIaSKVQYGdBygGaDWkJoeeVlREXXbIlDQeT5XgK+1A==" saltValue="3DEii5LrexWdXZ4VPlmQPg==" spinCount="100000" sqref="I13:J16 J52:K55 J78:K81" name="Rango1"/>
  </protectedRanges>
  <mergeCells count="7">
    <mergeCell ref="J78:K78"/>
    <mergeCell ref="B9:F10"/>
    <mergeCell ref="B11:F12"/>
    <mergeCell ref="I13:J13"/>
    <mergeCell ref="J52:K52"/>
    <mergeCell ref="B74:F75"/>
    <mergeCell ref="B76:F77"/>
  </mergeCells>
  <dataValidations count="2">
    <dataValidation type="list" allowBlank="1" showInputMessage="1" showErrorMessage="1" sqref="C14 C79" xr:uid="{1CF2879C-916C-4BB4-9446-A65F6D40A632}">
      <formula1>$D$14:$F$14</formula1>
    </dataValidation>
    <dataValidation type="list" allowBlank="1" showInputMessage="1" showErrorMessage="1" sqref="B71" xr:uid="{B3771ACD-214A-4A8D-B27A-DD6E52C0FA09}">
      <formula1>$B$6:$B$7</formula1>
    </dataValidation>
  </dataValidations>
  <pageMargins left="0.23622047244094491" right="0.23622047244094491" top="1.5354330708661419" bottom="1.3779527559055118" header="0.31496062992125984" footer="0.31496062992125984"/>
  <pageSetup scale="86" fitToHeight="0" orientation="portrait" r:id="rId1"/>
  <rowBreaks count="2" manualBreakCount="2">
    <brk id="47" min="1" max="5" man="1"/>
    <brk id="70" max="5" man="1"/>
  </rowBreaks>
  <colBreaks count="2" manualBreakCount="2">
    <brk id="1" min="46" max="82" man="1"/>
    <brk id="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C170-EF7D-4D52-9939-CD3E0E21C05A}">
  <sheetPr>
    <pageSetUpPr fitToPage="1"/>
  </sheetPr>
  <dimension ref="B6:K73"/>
  <sheetViews>
    <sheetView topLeftCell="A4" zoomScaleNormal="100" workbookViewId="0">
      <selection activeCell="B35" sqref="B35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87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5" t="s">
        <v>103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$F$33</f>
        <v>28322.780000000002</v>
      </c>
    </row>
    <row r="15" spans="2:10" x14ac:dyDescent="0.25">
      <c r="B15" t="s">
        <v>52</v>
      </c>
      <c r="C15" s="8">
        <f>+F33*J17</f>
        <v>98.100989984840012</v>
      </c>
      <c r="D15" s="52" t="s">
        <v>77</v>
      </c>
      <c r="I15" t="s">
        <v>54</v>
      </c>
      <c r="J15">
        <f>+C33</f>
        <v>24.797000000000001</v>
      </c>
    </row>
    <row r="16" spans="2:10" ht="15.75" thickBot="1" x14ac:dyDescent="0.3">
      <c r="D16" s="4" t="s">
        <v>55</v>
      </c>
      <c r="I16" t="s">
        <v>56</v>
      </c>
      <c r="J16" s="9"/>
    </row>
    <row r="17" spans="2:10" ht="16.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J17" s="63">
        <v>3.463678E-3</v>
      </c>
    </row>
    <row r="18" spans="2:10" ht="15.75" thickBot="1" x14ac:dyDescent="0.3">
      <c r="B18" s="12" t="s">
        <v>15</v>
      </c>
      <c r="C18" s="17">
        <v>2.0950000000000002</v>
      </c>
      <c r="D18" s="13" t="s">
        <v>55</v>
      </c>
      <c r="E18" s="51">
        <v>1120</v>
      </c>
      <c r="F18" s="15">
        <f>+C18*E18</f>
        <v>2346.4</v>
      </c>
    </row>
    <row r="19" spans="2:10" ht="15.75" thickBot="1" x14ac:dyDescent="0.3">
      <c r="B19" s="12" t="s">
        <v>15</v>
      </c>
      <c r="C19" s="17">
        <v>1.02</v>
      </c>
      <c r="D19" s="13" t="s">
        <v>55</v>
      </c>
      <c r="E19" s="51">
        <v>1120</v>
      </c>
      <c r="F19" s="15">
        <f t="shared" ref="F19:F32" si="0">+C19*E19</f>
        <v>1142.4000000000001</v>
      </c>
    </row>
    <row r="20" spans="2:10" ht="15.75" thickBot="1" x14ac:dyDescent="0.3">
      <c r="B20" s="12" t="s">
        <v>15</v>
      </c>
      <c r="C20" s="34">
        <v>1.0149999999999999</v>
      </c>
      <c r="D20" s="13" t="s">
        <v>55</v>
      </c>
      <c r="E20" s="51">
        <v>1120</v>
      </c>
      <c r="F20" s="15">
        <f t="shared" si="0"/>
        <v>1136.8</v>
      </c>
    </row>
    <row r="21" spans="2:10" ht="15.75" thickBot="1" x14ac:dyDescent="0.3">
      <c r="B21" s="12" t="s">
        <v>15</v>
      </c>
      <c r="C21" s="34">
        <v>2.9849999999999999</v>
      </c>
      <c r="D21" s="13" t="s">
        <v>55</v>
      </c>
      <c r="E21" s="51">
        <v>1120</v>
      </c>
      <c r="F21" s="15">
        <f t="shared" si="0"/>
        <v>3343.2</v>
      </c>
    </row>
    <row r="22" spans="2:10" ht="15.75" thickBot="1" x14ac:dyDescent="0.3">
      <c r="B22" s="12" t="s">
        <v>15</v>
      </c>
      <c r="C22" s="34">
        <v>1.085</v>
      </c>
      <c r="D22" s="13" t="s">
        <v>55</v>
      </c>
      <c r="E22" s="51">
        <v>1120</v>
      </c>
      <c r="F22" s="15">
        <f t="shared" si="0"/>
        <v>1215.2</v>
      </c>
    </row>
    <row r="23" spans="2:10" ht="15.75" thickBot="1" x14ac:dyDescent="0.3">
      <c r="B23" s="12" t="s">
        <v>15</v>
      </c>
      <c r="C23" s="34">
        <v>1.02</v>
      </c>
      <c r="D23" s="13" t="s">
        <v>55</v>
      </c>
      <c r="E23" s="51">
        <v>1120</v>
      </c>
      <c r="F23" s="15">
        <f t="shared" si="0"/>
        <v>1142.4000000000001</v>
      </c>
    </row>
    <row r="24" spans="2:10" ht="15.75" thickBot="1" x14ac:dyDescent="0.3">
      <c r="B24" s="12" t="s">
        <v>15</v>
      </c>
      <c r="C24" s="34">
        <v>3.3</v>
      </c>
      <c r="D24" s="13" t="s">
        <v>55</v>
      </c>
      <c r="E24" s="51">
        <v>1120</v>
      </c>
      <c r="F24" s="15">
        <f t="shared" si="0"/>
        <v>3696</v>
      </c>
    </row>
    <row r="25" spans="2:10" ht="15.75" thickBot="1" x14ac:dyDescent="0.3">
      <c r="B25" s="12" t="s">
        <v>15</v>
      </c>
      <c r="C25" s="34">
        <v>1.115</v>
      </c>
      <c r="D25" s="13" t="s">
        <v>55</v>
      </c>
      <c r="E25" s="55">
        <v>1120</v>
      </c>
      <c r="F25" s="15">
        <f t="shared" si="0"/>
        <v>1248.8</v>
      </c>
    </row>
    <row r="26" spans="2:10" ht="15.75" thickBot="1" x14ac:dyDescent="0.3">
      <c r="B26" s="12" t="s">
        <v>15</v>
      </c>
      <c r="C26" s="34">
        <v>1.8919999999999999</v>
      </c>
      <c r="D26" s="13" t="s">
        <v>55</v>
      </c>
      <c r="E26" s="67">
        <v>1140</v>
      </c>
      <c r="F26" s="15">
        <f t="shared" si="0"/>
        <v>2156.88</v>
      </c>
    </row>
    <row r="27" spans="2:10" ht="15.75" thickBot="1" x14ac:dyDescent="0.3">
      <c r="B27" s="12" t="s">
        <v>15</v>
      </c>
      <c r="C27" s="34">
        <v>1.07</v>
      </c>
      <c r="D27" s="13" t="s">
        <v>55</v>
      </c>
      <c r="E27" s="67">
        <v>1160</v>
      </c>
      <c r="F27" s="15">
        <f t="shared" si="0"/>
        <v>1241.2</v>
      </c>
    </row>
    <row r="28" spans="2:10" ht="15.75" thickBot="1" x14ac:dyDescent="0.3">
      <c r="B28" s="12" t="s">
        <v>15</v>
      </c>
      <c r="C28" s="34">
        <v>2.11</v>
      </c>
      <c r="D28" s="13" t="s">
        <v>55</v>
      </c>
      <c r="E28" s="67">
        <v>1140</v>
      </c>
      <c r="F28" s="15">
        <f t="shared" si="0"/>
        <v>2405.3999999999996</v>
      </c>
    </row>
    <row r="29" spans="2:10" ht="15.75" thickBot="1" x14ac:dyDescent="0.3">
      <c r="B29" s="12" t="s">
        <v>15</v>
      </c>
      <c r="C29" s="34">
        <v>1.05</v>
      </c>
      <c r="D29" s="13" t="s">
        <v>55</v>
      </c>
      <c r="E29" s="67">
        <v>1220</v>
      </c>
      <c r="F29" s="15">
        <f t="shared" si="0"/>
        <v>1281</v>
      </c>
    </row>
    <row r="30" spans="2:10" ht="15.75" thickBot="1" x14ac:dyDescent="0.3">
      <c r="B30" s="12" t="s">
        <v>15</v>
      </c>
      <c r="C30" s="34">
        <v>0.995</v>
      </c>
      <c r="D30" s="13" t="s">
        <v>55</v>
      </c>
      <c r="E30" s="67">
        <v>1200</v>
      </c>
      <c r="F30" s="15">
        <f t="shared" si="0"/>
        <v>1194</v>
      </c>
    </row>
    <row r="31" spans="2:10" ht="15.75" thickBot="1" x14ac:dyDescent="0.3">
      <c r="B31" s="12" t="s">
        <v>15</v>
      </c>
      <c r="C31" s="34">
        <v>2.105</v>
      </c>
      <c r="D31" s="13" t="s">
        <v>55</v>
      </c>
      <c r="E31" s="67">
        <v>1180</v>
      </c>
      <c r="F31" s="15">
        <f t="shared" si="0"/>
        <v>2483.9</v>
      </c>
    </row>
    <row r="32" spans="2:10" ht="15.75" thickBot="1" x14ac:dyDescent="0.3">
      <c r="B32" s="12" t="s">
        <v>15</v>
      </c>
      <c r="C32" s="34">
        <v>1.94</v>
      </c>
      <c r="D32" s="13" t="s">
        <v>55</v>
      </c>
      <c r="E32" s="55">
        <v>1180</v>
      </c>
      <c r="F32" s="15">
        <f t="shared" si="0"/>
        <v>2289.1999999999998</v>
      </c>
    </row>
    <row r="33" spans="2:11" ht="15.75" thickBot="1" x14ac:dyDescent="0.3">
      <c r="C33" s="65">
        <f>SUM(C18:C32)</f>
        <v>24.797000000000001</v>
      </c>
      <c r="E33" s="66" t="s">
        <v>78</v>
      </c>
      <c r="F33" s="64">
        <f>SUM(F18:F32)</f>
        <v>28322.780000000002</v>
      </c>
    </row>
    <row r="34" spans="2:11" x14ac:dyDescent="0.25">
      <c r="C34" s="58"/>
      <c r="D34" s="59"/>
      <c r="E34" s="60"/>
      <c r="F34" s="61"/>
    </row>
    <row r="36" spans="2:11" x14ac:dyDescent="0.25">
      <c r="B36" s="23" t="s">
        <v>80</v>
      </c>
      <c r="C36" s="24"/>
      <c r="D36" s="24"/>
      <c r="E36" s="24"/>
    </row>
    <row r="37" spans="2:11" x14ac:dyDescent="0.25">
      <c r="B37" s="25"/>
      <c r="C37" s="24"/>
      <c r="D37" s="26" t="s">
        <v>64</v>
      </c>
      <c r="E37" s="24"/>
    </row>
    <row r="38" spans="2:11" x14ac:dyDescent="0.25">
      <c r="B38" s="26"/>
      <c r="C38" s="24"/>
      <c r="D38" s="26" t="s">
        <v>65</v>
      </c>
      <c r="E38" s="24"/>
    </row>
    <row r="39" spans="2:11" x14ac:dyDescent="0.25">
      <c r="B39" s="26"/>
      <c r="C39" s="24"/>
      <c r="D39" s="26" t="s">
        <v>66</v>
      </c>
      <c r="E39" s="24"/>
    </row>
    <row r="40" spans="2:11" x14ac:dyDescent="0.25">
      <c r="B40" s="26" t="s">
        <v>74</v>
      </c>
      <c r="C40" s="24"/>
      <c r="D40" s="26"/>
      <c r="E40" s="24"/>
    </row>
    <row r="41" spans="2:11" x14ac:dyDescent="0.25">
      <c r="B41" s="26"/>
      <c r="C41" s="24"/>
      <c r="D41" s="26"/>
      <c r="E41" s="24"/>
    </row>
    <row r="43" spans="2:11" ht="18.75" customHeight="1" x14ac:dyDescent="0.25"/>
    <row r="45" spans="2:11" ht="9" customHeight="1" x14ac:dyDescent="0.25"/>
    <row r="46" spans="2:11" hidden="1" x14ac:dyDescent="0.25"/>
    <row r="47" spans="2:11" x14ac:dyDescent="0.25">
      <c r="J47" s="73"/>
      <c r="K47" s="73"/>
    </row>
    <row r="69" spans="2:11" x14ac:dyDescent="0.25">
      <c r="B69" s="73"/>
      <c r="C69" s="73"/>
      <c r="D69" s="73"/>
      <c r="E69" s="73"/>
      <c r="F69" s="73"/>
    </row>
    <row r="70" spans="2:11" ht="102.75" customHeight="1" x14ac:dyDescent="0.25">
      <c r="B70" s="73"/>
      <c r="C70" s="73"/>
      <c r="D70" s="73"/>
      <c r="E70" s="73"/>
      <c r="F70" s="73"/>
    </row>
    <row r="71" spans="2:11" x14ac:dyDescent="0.25">
      <c r="B71" s="73"/>
      <c r="C71" s="73"/>
      <c r="D71" s="73"/>
      <c r="E71" s="73"/>
      <c r="F71" s="73"/>
    </row>
    <row r="72" spans="2:11" ht="69.75" customHeight="1" x14ac:dyDescent="0.25">
      <c r="B72" s="73"/>
      <c r="C72" s="73"/>
      <c r="D72" s="73"/>
      <c r="E72" s="73"/>
      <c r="F72" s="73"/>
    </row>
    <row r="73" spans="2:11" x14ac:dyDescent="0.25">
      <c r="J73" s="73"/>
      <c r="K73" s="73"/>
    </row>
  </sheetData>
  <protectedRanges>
    <protectedRange algorithmName="SHA-512" hashValue="poroQ6AOCp+PrXUU2E1NErYIFQH5Vb3rJFa5nEtjHcNd2xSuKk5xyHjxyYSj0ALpLP6WOSx/b1qjw/2zF/GuYQ==" saltValue="BNE7NYaoREnSby9ppJtTLw==" spinCount="100000" sqref="C15 C49 C75" name="Rango3"/>
    <protectedRange algorithmName="SHA-512" hashValue="tUGEn7omUASg2YnQUJFND+3qd4CF5BwoMj/cO/PA5wQF78Nm09A5xeFuei1S8jh1bhgAFdQbH1BhWbmB36F/gA==" saltValue="u/5i146fT7pcplAmbBqlww==" spinCount="100000" sqref="F52:F55 F78:F99 F18:F34" name="Rango2"/>
    <protectedRange algorithmName="SHA-512" hashValue="Fy74vzPqavg1HALyDiBARtZGduGibbQdzXJe+BveEjcDaIaSKVQYGdBygGaDWkJoeeVlREXXbIlDQeT5XgK+1A==" saltValue="3DEii5LrexWdXZ4VPlmQPg==" spinCount="100000" sqref="I13:J16 J47:K50 J73:K76" name="Rango1"/>
  </protectedRanges>
  <mergeCells count="7">
    <mergeCell ref="J73:K73"/>
    <mergeCell ref="B9:F10"/>
    <mergeCell ref="B11:F12"/>
    <mergeCell ref="I13:J13"/>
    <mergeCell ref="J47:K47"/>
    <mergeCell ref="B69:F70"/>
    <mergeCell ref="B71:F72"/>
  </mergeCells>
  <dataValidations count="2">
    <dataValidation type="list" allowBlank="1" showInputMessage="1" showErrorMessage="1" sqref="B66" xr:uid="{A46F0A1E-AAE4-447B-B430-55E514AB3358}">
      <formula1>$B$6:$B$7</formula1>
    </dataValidation>
    <dataValidation type="list" allowBlank="1" showInputMessage="1" showErrorMessage="1" sqref="C14 C74" xr:uid="{F8FD6F29-01D5-408A-BD38-4013623D2C6B}">
      <formula1>$D$14:$F$14</formula1>
    </dataValidation>
  </dataValidations>
  <pageMargins left="0.23622047244094491" right="0.23622047244094491" top="1.5354330708661419" bottom="1.3779527559055118" header="0.31496062992125984" footer="0.31496062992125984"/>
  <pageSetup scale="86" fitToHeight="0" orientation="portrait" r:id="rId1"/>
  <rowBreaks count="2" manualBreakCount="2">
    <brk id="42" min="1" max="5" man="1"/>
    <brk id="65" max="5" man="1"/>
  </rowBreaks>
  <colBreaks count="2" manualBreakCount="2">
    <brk id="1" min="41" max="77" man="1"/>
    <brk id="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DE2A6-FB5C-4320-9A5D-2EBDF1C99BB8}">
  <sheetPr>
    <pageSetUpPr fitToPage="1"/>
  </sheetPr>
  <dimension ref="B6:K78"/>
  <sheetViews>
    <sheetView tabSelected="1" zoomScaleNormal="100" workbookViewId="0">
      <selection activeCell="E17" sqref="E17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45971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1" t="s">
        <v>87</v>
      </c>
      <c r="C9" s="71"/>
      <c r="D9" s="71"/>
      <c r="E9" s="71"/>
      <c r="F9" s="71"/>
    </row>
    <row r="10" spans="2:10" ht="84" customHeight="1" x14ac:dyDescent="0.25">
      <c r="B10" s="71"/>
      <c r="C10" s="71"/>
      <c r="D10" s="71"/>
      <c r="E10" s="71"/>
      <c r="F10" s="71"/>
    </row>
    <row r="11" spans="2:10" s="5" customFormat="1" ht="37.5" customHeight="1" x14ac:dyDescent="0.25">
      <c r="B11" s="75" t="s">
        <v>104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2" t="s">
        <v>46</v>
      </c>
      <c r="J13" s="72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$F$38</f>
        <v>29574.329999999998</v>
      </c>
    </row>
    <row r="15" spans="2:10" x14ac:dyDescent="0.25">
      <c r="B15" t="s">
        <v>52</v>
      </c>
      <c r="C15" s="8">
        <f>+F38*J17</f>
        <v>102.43595618574</v>
      </c>
      <c r="D15" s="52" t="s">
        <v>77</v>
      </c>
      <c r="I15" t="s">
        <v>54</v>
      </c>
      <c r="J15">
        <f>+C38</f>
        <v>25.177000000000003</v>
      </c>
    </row>
    <row r="16" spans="2:10" ht="15.75" thickBot="1" x14ac:dyDescent="0.3">
      <c r="D16" s="4" t="s">
        <v>55</v>
      </c>
      <c r="I16" t="s">
        <v>56</v>
      </c>
      <c r="J16" s="9"/>
    </row>
    <row r="17" spans="2:10" ht="16.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J17" s="63">
        <v>3.463678E-3</v>
      </c>
    </row>
    <row r="18" spans="2:10" ht="24.75" thickBot="1" x14ac:dyDescent="0.3">
      <c r="B18" s="33" t="s">
        <v>11</v>
      </c>
      <c r="C18" s="17">
        <v>0.97499999999999998</v>
      </c>
      <c r="D18" s="13" t="s">
        <v>55</v>
      </c>
      <c r="E18" s="51">
        <v>1320</v>
      </c>
      <c r="F18" s="15">
        <f>+C18*E18</f>
        <v>1287</v>
      </c>
    </row>
    <row r="19" spans="2:10" ht="15.75" thickBot="1" x14ac:dyDescent="0.3">
      <c r="B19" s="12" t="s">
        <v>15</v>
      </c>
      <c r="C19" s="17">
        <v>1.0649999999999999</v>
      </c>
      <c r="D19" s="13" t="s">
        <v>55</v>
      </c>
      <c r="E19" s="51">
        <v>1140</v>
      </c>
      <c r="F19" s="15">
        <f t="shared" ref="F19:F37" si="0">+C19*E19</f>
        <v>1214.0999999999999</v>
      </c>
    </row>
    <row r="20" spans="2:10" ht="15.75" thickBot="1" x14ac:dyDescent="0.3">
      <c r="B20" s="12" t="s">
        <v>15</v>
      </c>
      <c r="C20" s="34">
        <v>1.1200000000000001</v>
      </c>
      <c r="D20" s="13" t="s">
        <v>55</v>
      </c>
      <c r="E20" s="51">
        <v>1140</v>
      </c>
      <c r="F20" s="15">
        <f t="shared" si="0"/>
        <v>1276.8000000000002</v>
      </c>
    </row>
    <row r="21" spans="2:10" ht="15.75" thickBot="1" x14ac:dyDescent="0.3">
      <c r="B21" s="12" t="s">
        <v>15</v>
      </c>
      <c r="C21" s="34">
        <v>1</v>
      </c>
      <c r="D21" s="13" t="s">
        <v>55</v>
      </c>
      <c r="E21" s="51">
        <v>1140</v>
      </c>
      <c r="F21" s="15">
        <f t="shared" si="0"/>
        <v>1140</v>
      </c>
    </row>
    <row r="22" spans="2:10" ht="15.75" thickBot="1" x14ac:dyDescent="0.3">
      <c r="B22" s="12" t="s">
        <v>15</v>
      </c>
      <c r="C22" s="34">
        <v>1.03</v>
      </c>
      <c r="D22" s="13" t="s">
        <v>55</v>
      </c>
      <c r="E22" s="51">
        <v>1140</v>
      </c>
      <c r="F22" s="15">
        <f t="shared" si="0"/>
        <v>1174.2</v>
      </c>
    </row>
    <row r="23" spans="2:10" ht="15.75" thickBot="1" x14ac:dyDescent="0.3">
      <c r="B23" s="12" t="s">
        <v>15</v>
      </c>
      <c r="C23" s="34">
        <v>1.1850000000000001</v>
      </c>
      <c r="D23" s="13" t="s">
        <v>55</v>
      </c>
      <c r="E23" s="51">
        <v>1160</v>
      </c>
      <c r="F23" s="15">
        <f t="shared" si="0"/>
        <v>1374.6000000000001</v>
      </c>
    </row>
    <row r="24" spans="2:10" ht="15.75" thickBot="1" x14ac:dyDescent="0.3">
      <c r="B24" s="12" t="s">
        <v>15</v>
      </c>
      <c r="C24" s="34">
        <v>1.115</v>
      </c>
      <c r="D24" s="13" t="s">
        <v>55</v>
      </c>
      <c r="E24" s="51">
        <v>1140</v>
      </c>
      <c r="F24" s="15">
        <f t="shared" si="0"/>
        <v>1271.0999999999999</v>
      </c>
    </row>
    <row r="25" spans="2:10" ht="24.75" thickBot="1" x14ac:dyDescent="0.3">
      <c r="B25" s="33" t="s">
        <v>11</v>
      </c>
      <c r="C25" s="34">
        <v>1.33</v>
      </c>
      <c r="D25" s="13" t="s">
        <v>55</v>
      </c>
      <c r="E25" s="55">
        <v>1250</v>
      </c>
      <c r="F25" s="15">
        <f t="shared" si="0"/>
        <v>1662.5</v>
      </c>
    </row>
    <row r="26" spans="2:10" ht="24.75" thickBot="1" x14ac:dyDescent="0.3">
      <c r="B26" s="33" t="s">
        <v>11</v>
      </c>
      <c r="C26" s="34">
        <v>0.93500000000000005</v>
      </c>
      <c r="D26" s="13" t="s">
        <v>55</v>
      </c>
      <c r="E26" s="67">
        <v>1380</v>
      </c>
      <c r="F26" s="15">
        <f t="shared" si="0"/>
        <v>1290.3000000000002</v>
      </c>
    </row>
    <row r="27" spans="2:10" ht="15.75" thickBot="1" x14ac:dyDescent="0.3">
      <c r="B27" s="12" t="s">
        <v>15</v>
      </c>
      <c r="C27" s="34">
        <v>1</v>
      </c>
      <c r="D27" s="13" t="s">
        <v>55</v>
      </c>
      <c r="E27" s="67">
        <v>1140</v>
      </c>
      <c r="F27" s="15">
        <f t="shared" si="0"/>
        <v>1140</v>
      </c>
    </row>
    <row r="28" spans="2:10" ht="15.75" thickBot="1" x14ac:dyDescent="0.3">
      <c r="B28" s="12" t="s">
        <v>15</v>
      </c>
      <c r="C28" s="34">
        <v>2.06</v>
      </c>
      <c r="D28" s="13" t="s">
        <v>55</v>
      </c>
      <c r="E28" s="67">
        <v>1140</v>
      </c>
      <c r="F28" s="15">
        <f t="shared" si="0"/>
        <v>2348.4</v>
      </c>
    </row>
    <row r="29" spans="2:10" ht="15.75" thickBot="1" x14ac:dyDescent="0.3">
      <c r="B29" s="12" t="s">
        <v>15</v>
      </c>
      <c r="C29" s="34">
        <v>2.2250000000000001</v>
      </c>
      <c r="D29" s="13" t="s">
        <v>55</v>
      </c>
      <c r="E29" s="67">
        <v>1140</v>
      </c>
      <c r="F29" s="15">
        <f t="shared" si="0"/>
        <v>2536.5</v>
      </c>
    </row>
    <row r="30" spans="2:10" ht="15.75" thickBot="1" x14ac:dyDescent="0.3">
      <c r="B30" s="12" t="s">
        <v>15</v>
      </c>
      <c r="C30" s="34">
        <v>0.99</v>
      </c>
      <c r="D30" s="13" t="s">
        <v>55</v>
      </c>
      <c r="E30" s="67">
        <v>1120</v>
      </c>
      <c r="F30" s="15">
        <f t="shared" si="0"/>
        <v>1108.8</v>
      </c>
    </row>
    <row r="31" spans="2:10" ht="15.75" thickBot="1" x14ac:dyDescent="0.3">
      <c r="B31" s="12" t="s">
        <v>15</v>
      </c>
      <c r="C31" s="34">
        <v>1.155</v>
      </c>
      <c r="D31" s="13" t="s">
        <v>55</v>
      </c>
      <c r="E31" s="67">
        <v>1120</v>
      </c>
      <c r="F31" s="15">
        <f t="shared" si="0"/>
        <v>1293.6000000000001</v>
      </c>
    </row>
    <row r="32" spans="2:10" ht="15.75" thickBot="1" x14ac:dyDescent="0.3">
      <c r="B32" s="68" t="s">
        <v>15</v>
      </c>
      <c r="C32" s="46">
        <v>1.8919999999999999</v>
      </c>
      <c r="D32" s="69" t="s">
        <v>55</v>
      </c>
      <c r="E32" s="70">
        <v>1140</v>
      </c>
      <c r="F32" s="49">
        <f t="shared" si="0"/>
        <v>2156.88</v>
      </c>
    </row>
    <row r="33" spans="2:6" ht="15.75" thickBot="1" x14ac:dyDescent="0.3">
      <c r="B33" s="68" t="s">
        <v>15</v>
      </c>
      <c r="C33" s="46">
        <v>0.98</v>
      </c>
      <c r="D33" s="47" t="s">
        <v>55</v>
      </c>
      <c r="E33" s="70">
        <v>1160</v>
      </c>
      <c r="F33" s="78">
        <f t="shared" si="0"/>
        <v>1136.8</v>
      </c>
    </row>
    <row r="34" spans="2:6" ht="15.75" thickBot="1" x14ac:dyDescent="0.3">
      <c r="B34" s="68" t="s">
        <v>15</v>
      </c>
      <c r="C34" s="34">
        <v>1.98</v>
      </c>
      <c r="D34" s="47" t="s">
        <v>55</v>
      </c>
      <c r="E34" s="55">
        <v>1180</v>
      </c>
      <c r="F34" s="32">
        <f t="shared" si="0"/>
        <v>2336.4</v>
      </c>
    </row>
    <row r="35" spans="2:6" ht="15.75" thickBot="1" x14ac:dyDescent="0.3">
      <c r="B35" s="68" t="s">
        <v>15</v>
      </c>
      <c r="C35" s="34">
        <v>1.05</v>
      </c>
      <c r="D35" s="47" t="s">
        <v>55</v>
      </c>
      <c r="E35" s="55">
        <v>1180</v>
      </c>
      <c r="F35" s="15">
        <f t="shared" si="0"/>
        <v>1239</v>
      </c>
    </row>
    <row r="36" spans="2:6" ht="15.75" thickBot="1" x14ac:dyDescent="0.3">
      <c r="B36" s="68" t="s">
        <v>15</v>
      </c>
      <c r="C36" s="34">
        <v>1.115</v>
      </c>
      <c r="D36" s="47" t="s">
        <v>55</v>
      </c>
      <c r="E36" s="67">
        <v>1140</v>
      </c>
      <c r="F36" s="15">
        <f t="shared" si="0"/>
        <v>1271.0999999999999</v>
      </c>
    </row>
    <row r="37" spans="2:6" ht="24.75" thickBot="1" x14ac:dyDescent="0.3">
      <c r="B37" s="33" t="s">
        <v>11</v>
      </c>
      <c r="C37" s="34">
        <v>0.97499999999999998</v>
      </c>
      <c r="D37" s="30" t="s">
        <v>55</v>
      </c>
      <c r="E37" s="55">
        <v>1350</v>
      </c>
      <c r="F37" s="32">
        <f t="shared" si="0"/>
        <v>1316.25</v>
      </c>
    </row>
    <row r="38" spans="2:6" ht="15.75" thickBot="1" x14ac:dyDescent="0.3">
      <c r="C38" s="65">
        <f>SUM(C18:C37)</f>
        <v>25.177000000000003</v>
      </c>
      <c r="E38" s="66" t="s">
        <v>78</v>
      </c>
      <c r="F38" s="64">
        <f>SUM(F18:F37)</f>
        <v>29574.329999999998</v>
      </c>
    </row>
    <row r="39" spans="2:6" x14ac:dyDescent="0.25">
      <c r="C39" s="58"/>
      <c r="D39" s="59"/>
      <c r="E39" s="60"/>
      <c r="F39" s="61"/>
    </row>
    <row r="41" spans="2:6" x14ac:dyDescent="0.25">
      <c r="B41" s="23" t="s">
        <v>80</v>
      </c>
      <c r="C41" s="24"/>
      <c r="D41" s="24"/>
      <c r="E41" s="24"/>
    </row>
    <row r="42" spans="2:6" x14ac:dyDescent="0.25">
      <c r="B42" s="25"/>
      <c r="C42" s="24"/>
      <c r="D42" s="26" t="s">
        <v>64</v>
      </c>
      <c r="E42" s="24"/>
    </row>
    <row r="43" spans="2:6" x14ac:dyDescent="0.25">
      <c r="B43" s="26"/>
      <c r="C43" s="24"/>
      <c r="D43" s="26" t="s">
        <v>65</v>
      </c>
      <c r="E43" s="24"/>
    </row>
    <row r="44" spans="2:6" x14ac:dyDescent="0.25">
      <c r="B44" s="26"/>
      <c r="C44" s="24"/>
      <c r="D44" s="26" t="s">
        <v>66</v>
      </c>
      <c r="E44" s="24"/>
    </row>
    <row r="45" spans="2:6" x14ac:dyDescent="0.25">
      <c r="B45" s="26" t="s">
        <v>74</v>
      </c>
      <c r="C45" s="24"/>
      <c r="D45" s="26"/>
      <c r="E45" s="24"/>
    </row>
    <row r="46" spans="2:6" x14ac:dyDescent="0.25">
      <c r="B46" s="26"/>
      <c r="C46" s="24"/>
      <c r="D46" s="26"/>
      <c r="E46" s="24"/>
    </row>
    <row r="48" spans="2:6" ht="18.75" customHeight="1" x14ac:dyDescent="0.25"/>
    <row r="50" spans="10:11" ht="9" customHeight="1" x14ac:dyDescent="0.25"/>
    <row r="51" spans="10:11" hidden="1" x14ac:dyDescent="0.25"/>
    <row r="52" spans="10:11" x14ac:dyDescent="0.25">
      <c r="J52" s="73"/>
      <c r="K52" s="73"/>
    </row>
    <row r="74" spans="2:11" x14ac:dyDescent="0.25">
      <c r="B74" s="73"/>
      <c r="C74" s="73"/>
      <c r="D74" s="73"/>
      <c r="E74" s="73"/>
      <c r="F74" s="73"/>
    </row>
    <row r="75" spans="2:11" ht="102.75" customHeight="1" x14ac:dyDescent="0.25">
      <c r="B75" s="73"/>
      <c r="C75" s="73"/>
      <c r="D75" s="73"/>
      <c r="E75" s="73"/>
      <c r="F75" s="73"/>
    </row>
    <row r="76" spans="2:11" x14ac:dyDescent="0.25">
      <c r="B76" s="73"/>
      <c r="C76" s="73"/>
      <c r="D76" s="73"/>
      <c r="E76" s="73"/>
      <c r="F76" s="73"/>
    </row>
    <row r="77" spans="2:11" ht="69.75" customHeight="1" x14ac:dyDescent="0.25">
      <c r="B77" s="73"/>
      <c r="C77" s="73"/>
      <c r="D77" s="73"/>
      <c r="E77" s="73"/>
      <c r="F77" s="73"/>
    </row>
    <row r="78" spans="2:11" x14ac:dyDescent="0.25">
      <c r="J78" s="73"/>
      <c r="K78" s="73"/>
    </row>
  </sheetData>
  <protectedRanges>
    <protectedRange algorithmName="SHA-512" hashValue="poroQ6AOCp+PrXUU2E1NErYIFQH5Vb3rJFa5nEtjHcNd2xSuKk5xyHjxyYSj0ALpLP6WOSx/b1qjw/2zF/GuYQ==" saltValue="BNE7NYaoREnSby9ppJtTLw==" spinCount="100000" sqref="C15 C54 C80" name="Rango3"/>
    <protectedRange algorithmName="SHA-512" hashValue="tUGEn7omUASg2YnQUJFND+3qd4CF5BwoMj/cO/PA5wQF78Nm09A5xeFuei1S8jh1bhgAFdQbH1BhWbmB36F/gA==" saltValue="u/5i146fT7pcplAmbBqlww==" spinCount="100000" sqref="F57:F60 F83:F104 F18:F39" name="Rango2"/>
    <protectedRange algorithmName="SHA-512" hashValue="Fy74vzPqavg1HALyDiBARtZGduGibbQdzXJe+BveEjcDaIaSKVQYGdBygGaDWkJoeeVlREXXbIlDQeT5XgK+1A==" saltValue="3DEii5LrexWdXZ4VPlmQPg==" spinCount="100000" sqref="I13:J16 J52:K55 J78:K81" name="Rango1"/>
  </protectedRanges>
  <mergeCells count="7">
    <mergeCell ref="J78:K78"/>
    <mergeCell ref="B9:F10"/>
    <mergeCell ref="B11:F12"/>
    <mergeCell ref="I13:J13"/>
    <mergeCell ref="J52:K52"/>
    <mergeCell ref="B74:F75"/>
    <mergeCell ref="B76:F77"/>
  </mergeCells>
  <dataValidations count="2">
    <dataValidation type="list" allowBlank="1" showInputMessage="1" showErrorMessage="1" sqref="C14 C79" xr:uid="{4E1AF786-9462-43AD-8EB7-41FA191D8312}">
      <formula1>$D$14:$F$14</formula1>
    </dataValidation>
    <dataValidation type="list" allowBlank="1" showInputMessage="1" showErrorMessage="1" sqref="B71" xr:uid="{CCA0ABD4-DDAB-4827-949B-D1EC5ADD9BFE}">
      <formula1>$B$6:$B$7</formula1>
    </dataValidation>
  </dataValidations>
  <pageMargins left="0.23622047244094491" right="0.23622047244094491" top="1.5354330708661419" bottom="1.3779527559055118" header="0.31496062992125984" footer="0.31496062992125984"/>
  <pageSetup scale="86" fitToHeight="0" orientation="portrait" r:id="rId1"/>
  <rowBreaks count="2" manualBreakCount="2">
    <brk id="47" min="1" max="5" man="1"/>
    <brk id="70" max="5" man="1"/>
  </rowBreaks>
  <colBreaks count="2" manualBreakCount="2">
    <brk id="1" min="46" max="82" man="1"/>
    <brk id="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3AB9DB90E9A043B1BA6F08D3A1072B" ma:contentTypeVersion="15" ma:contentTypeDescription="Crear nuevo documento." ma:contentTypeScope="" ma:versionID="71611c4146ef232dbae32e4854e6e968">
  <xsd:schema xmlns:xsd="http://www.w3.org/2001/XMLSchema" xmlns:xs="http://www.w3.org/2001/XMLSchema" xmlns:p="http://schemas.microsoft.com/office/2006/metadata/properties" xmlns:ns2="af636998-9649-4a4a-b136-b275dd36c112" xmlns:ns3="ca49b3b5-a475-4715-9b3a-64420420746a" targetNamespace="http://schemas.microsoft.com/office/2006/metadata/properties" ma:root="true" ma:fieldsID="61ec3c5babf08b706b11b3a3180128a4" ns2:_="" ns3:_="">
    <xsd:import namespace="af636998-9649-4a4a-b136-b275dd36c112"/>
    <xsd:import namespace="ca49b3b5-a475-4715-9b3a-6442042074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36998-9649-4a4a-b136-b275dd36c1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0086e2ec-c089-4f45-bf61-177a876563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49b3b5-a475-4715-9b3a-64420420746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5edcf3e-aa14-42ce-8a58-064bc7578d0e}" ma:internalName="TaxCatchAll" ma:showField="CatchAllData" ma:web="ca49b3b5-a475-4715-9b3a-6442042074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49b3b5-a475-4715-9b3a-64420420746a" xsi:nil="true"/>
    <lcf76f155ced4ddcb4097134ff3c332f xmlns="af636998-9649-4a4a-b136-b275dd36c1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9C98C8-96E2-41ED-8302-91C1F19834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EC791F-57D3-447D-BECC-2D114C435A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36998-9649-4a4a-b136-b275dd36c112"/>
    <ds:schemaRef ds:uri="ca49b3b5-a475-4715-9b3a-6442042074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A8422F-4CFA-478A-B0CF-45BD0722044F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f636998-9649-4a4a-b136-b275dd36c112"/>
    <ds:schemaRef ds:uri="http://purl.org/dc/terms/"/>
    <ds:schemaRef ds:uri="ca49b3b5-a475-4715-9b3a-64420420746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29</vt:i4>
      </vt:variant>
      <vt:variant>
        <vt:lpstr>Rangos con nombre</vt:lpstr>
      </vt:variant>
      <vt:variant>
        <vt:i4>28</vt:i4>
      </vt:variant>
    </vt:vector>
  </HeadingPairs>
  <TitlesOfParts>
    <vt:vector size="57" baseType="lpstr">
      <vt:lpstr>FRACCIONES</vt:lpstr>
      <vt:lpstr>NUEVA INCAL FV24-38 </vt:lpstr>
      <vt:lpstr>NUEVA INCAL FV24-82</vt:lpstr>
      <vt:lpstr>FV24-143</vt:lpstr>
      <vt:lpstr>FV24-140</vt:lpstr>
      <vt:lpstr>FV24-156</vt:lpstr>
      <vt:lpstr>FV24-171</vt:lpstr>
      <vt:lpstr>FV24-243</vt:lpstr>
      <vt:lpstr>FV24-272</vt:lpstr>
      <vt:lpstr>FV24-322</vt:lpstr>
      <vt:lpstr> FV25-4</vt:lpstr>
      <vt:lpstr>FV25-28</vt:lpstr>
      <vt:lpstr>FV25-41</vt:lpstr>
      <vt:lpstr>FV25-42</vt:lpstr>
      <vt:lpstr>FV25-50</vt:lpstr>
      <vt:lpstr>FV25-52</vt:lpstr>
      <vt:lpstr>FV25-51</vt:lpstr>
      <vt:lpstr>FV25-69</vt:lpstr>
      <vt:lpstr>FV25-85</vt:lpstr>
      <vt:lpstr>FV25-105</vt:lpstr>
      <vt:lpstr>FV25-108</vt:lpstr>
      <vt:lpstr>FV25-127</vt:lpstr>
      <vt:lpstr>FV25-128</vt:lpstr>
      <vt:lpstr>FV25-154</vt:lpstr>
      <vt:lpstr>FV25-224</vt:lpstr>
      <vt:lpstr>FV25-225</vt:lpstr>
      <vt:lpstr>FV25-254</vt:lpstr>
      <vt:lpstr>FV25-288</vt:lpstr>
      <vt:lpstr>FV25-296</vt:lpstr>
      <vt:lpstr>' FV25-4'!Área_de_impresión</vt:lpstr>
      <vt:lpstr>'FV24-140'!Área_de_impresión</vt:lpstr>
      <vt:lpstr>'FV24-143'!Área_de_impresión</vt:lpstr>
      <vt:lpstr>'FV24-156'!Área_de_impresión</vt:lpstr>
      <vt:lpstr>'FV24-171'!Área_de_impresión</vt:lpstr>
      <vt:lpstr>'FV24-243'!Área_de_impresión</vt:lpstr>
      <vt:lpstr>'FV24-272'!Área_de_impresión</vt:lpstr>
      <vt:lpstr>'FV24-322'!Área_de_impresión</vt:lpstr>
      <vt:lpstr>'FV25-105'!Área_de_impresión</vt:lpstr>
      <vt:lpstr>'FV25-108'!Área_de_impresión</vt:lpstr>
      <vt:lpstr>'FV25-127'!Área_de_impresión</vt:lpstr>
      <vt:lpstr>'FV25-128'!Área_de_impresión</vt:lpstr>
      <vt:lpstr>'FV25-154'!Área_de_impresión</vt:lpstr>
      <vt:lpstr>'FV25-224'!Área_de_impresión</vt:lpstr>
      <vt:lpstr>'FV25-225'!Área_de_impresión</vt:lpstr>
      <vt:lpstr>'FV25-254'!Área_de_impresión</vt:lpstr>
      <vt:lpstr>'FV25-28'!Área_de_impresión</vt:lpstr>
      <vt:lpstr>'FV25-288'!Área_de_impresión</vt:lpstr>
      <vt:lpstr>'FV25-296'!Área_de_impresión</vt:lpstr>
      <vt:lpstr>'FV25-41'!Área_de_impresión</vt:lpstr>
      <vt:lpstr>'FV25-42'!Área_de_impresión</vt:lpstr>
      <vt:lpstr>'FV25-50'!Área_de_impresión</vt:lpstr>
      <vt:lpstr>'FV25-51'!Área_de_impresión</vt:lpstr>
      <vt:lpstr>'FV25-52'!Área_de_impresión</vt:lpstr>
      <vt:lpstr>'FV25-69'!Área_de_impresión</vt:lpstr>
      <vt:lpstr>'FV25-85'!Área_de_impresión</vt:lpstr>
      <vt:lpstr>'NUEVA INCAL FV24-38 '!Área_de_impresión</vt:lpstr>
      <vt:lpstr>'NUEVA INCAL FV24-82'!Área_de_impresión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Cruz, Jazmin (se, leo, com)</dc:creator>
  <cp:keywords/>
  <dc:description/>
  <cp:lastModifiedBy>Cruz, Jazmin (se, leo, com)</cp:lastModifiedBy>
  <cp:revision/>
  <cp:lastPrinted>2025-11-10T23:14:46Z</cp:lastPrinted>
  <dcterms:created xsi:type="dcterms:W3CDTF">2024-02-20T17:27:50Z</dcterms:created>
  <dcterms:modified xsi:type="dcterms:W3CDTF">2025-11-10T23:14:49Z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0x0101002D3AB9DB90E9A043B1BA6F08D3A1072B</vt:lpwstr>
  </property>
  <property fmtid="{D5CDD505-2E9C-101B-9397-08002B2CF9AE}" pid="3" name="MediaServiceImageTags">
    <vt:lpwstr/>
  </property>
</Properties>
</file>